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6010" documentId="8_{02591AEE-AA27-4992-A490-F4BCF6A95374}" xr6:coauthVersionLast="47" xr6:coauthVersionMax="47" xr10:uidLastSave="{543F93F1-F0B2-42E7-B787-12C1B4F5771F}"/>
  <bookViews>
    <workbookView xWindow="-96" yWindow="-96" windowWidth="23232" windowHeight="13872" tabRatio="901" firstSheet="7" activeTab="1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  <sheet name="Fee 2 All Results" sheetId="29" r:id="rId13"/>
    <sheet name="Fee 2 Match Results" sheetId="30" r:id="rId14"/>
    <sheet name="Fee 2 Error Results" sheetId="31" r:id="rId15"/>
    <sheet name="Fee 2 Upload Ready" sheetId="32" r:id="rId16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2" l="1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E28" i="8"/>
  <c r="E27" i="8"/>
  <c r="E19" i="8"/>
  <c r="E21" i="8"/>
</calcChain>
</file>

<file path=xl/sharedStrings.xml><?xml version="1.0" encoding="utf-8"?>
<sst xmlns="http://schemas.openxmlformats.org/spreadsheetml/2006/main" count="1537" uniqueCount="189">
  <si>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</si>
  <si>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</si>
  <si>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</si>
  <si>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</si>
  <si>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</si>
  <si>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</si>
  <si>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</si>
  <si>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</si>
  <si>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</si>
  <si>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</si>
  <si>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</si>
  <si>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</si>
  <si>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</si>
  <si>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</si>
  <si>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</si>
  <si>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</si>
  <si>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</si>
  <si>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</si>
  <si>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</si>
  <si>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</si>
  <si>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</si>
  <si>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</si>
  <si>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</si>
  <si>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</si>
  <si>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</si>
  <si>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</si>
  <si>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</si>
  <si>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</si>
  <si>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</si>
  <si>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</si>
  <si>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</si>
  <si>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</si>
  <si>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</si>
  <si>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</si>
  <si>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</si>
  <si>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</si>
  <si>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</si>
  <si>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</si>
  <si>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</si>
  <si>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</si>
  <si>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</si>
  <si>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</si>
  <si>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</si>
  <si>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</si>
  <si>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</si>
  <si>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</si>
  <si>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</si>
  <si>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</si>
  <si>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</si>
  <si>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</si>
  <si>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</si>
  <si>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</si>
  <si>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</si>
  <si>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</si>
  <si>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</si>
  <si>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</si>
  <si>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</si>
  <si>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</si>
  <si>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</si>
  <si>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</si>
  <si>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</si>
  <si>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</si>
  <si>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</si>
  <si>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</si>
  <si>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</si>
  <si>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</si>
  <si>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</si>
  <si>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</si>
  <si>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</si>
  <si>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</si>
  <si>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</si>
  <si>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</si>
  <si>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</si>
  <si>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</si>
  <si>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</si>
  <si>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</si>
  <si>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</si>
  <si>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</si>
  <si>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</si>
  <si>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</si>
  <si>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</si>
  <si>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</si>
  <si>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</si>
  <si>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</si>
  <si>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</si>
  <si>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</si>
  <si>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</si>
  <si>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</si>
  <si>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</si>
  <si>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</si>
  <si>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</si>
  <si>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</si>
  <si>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</si>
  <si>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</si>
  <si>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</si>
  <si>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</si>
  <si>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</si>
  <si>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</si>
  <si>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</si>
  <si>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</si>
  <si>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</si>
  <si>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</si>
  <si>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</si>
  <si>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</si>
  <si>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</si>
  <si>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</si>
  <si>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</si>
  <si>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</si>
  <si>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</si>
  <si>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</si>
  <si>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</si>
  <si>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</si>
  <si>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</si>
  <si>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</si>
  <si>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</si>
  <si>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</si>
  <si>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</si>
  <si>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</si>
  <si>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</si>
  <si>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</si>
  <si>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</si>
  <si>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</si>
  <si>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</si>
  <si>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</si>
  <si>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</si>
  <si>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</si>
  <si>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</si>
  <si>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</si>
  <si>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</si>
  <si>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</si>
  <si>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</si>
  <si>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</si>
  <si>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</si>
  <si>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</si>
  <si>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</si>
  <si>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</si>
  <si>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</si>
  <si>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</si>
  <si>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</si>
  <si>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</si>
  <si>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</si>
  <si>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</si>
  <si>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</si>
  <si>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</si>
  <si>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</si>
  <si>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</si>
  <si>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</si>
  <si>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</si>
  <si>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</si>
  <si>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</si>
  <si>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</si>
  <si>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</si>
  <si>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</si>
  <si>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</si>
  <si>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</si>
  <si>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</si>
  <si>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</si>
  <si>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</si>
  <si>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</si>
  <si>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</si>
  <si>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</si>
  <si>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</si>
  <si>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</si>
  <si>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</si>
  <si>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 xml:space="preserve">Turn it into one continuous process. Checkboxes? </t>
  </si>
  <si>
    <t>Defaults</t>
  </si>
  <si>
    <t>Code cleanup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</si>
  <si>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</si>
  <si>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</si>
  <si>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</si>
  <si>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</si>
  <si>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</si>
  <si>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</si>
  <si>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</si>
  <si>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</si>
  <si>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</si>
  <si>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</si>
  <si>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</si>
  <si>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</si>
  <si>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</si>
  <si>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</si>
  <si>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</si>
  <si>
    <t>Column1</t>
  </si>
  <si>
    <t>Fee Recon 2</t>
  </si>
  <si>
    <t>Fee 2</t>
  </si>
  <si>
    <t>Transform: Upload Transform | Source: Fee 2 Match Results | Target: Fee 2 Upload Ready | Duration: 0.1s</t>
  </si>
  <si>
    <t>AccountName="Widget Inc"</t>
  </si>
  <si>
    <t>Transform: Upload Transform | Source: Fee 2 Match Results | Target: Fee 2 Upload Ready | Duration: 0.0s</t>
  </si>
  <si>
    <t>Add Save Upload functionality, Configs? Default Folder, SaveAsFormat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</si>
</sst>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41"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64" formatCode="yyyy\-mm\-dd\ hh:mm:ss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529590</xdr:colOff>
          <xdr:row>0</xdr:row>
          <xdr:rowOff>45720</xdr:rowOff>
        </xdr:from>
        <xdr:to>
          <xdr:col>4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11430</xdr:rowOff>
        </xdr:from>
        <xdr:to>
          <xdr:col>9</xdr:col>
          <xdr:colOff>617220</xdr:colOff>
          <xdr:row>0</xdr:row>
          <xdr:rowOff>293370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45" totalsRowShown="0">
  <autoFilter ref="A1:C45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1" totalsRowShown="0">
  <autoFilter ref="A1:C11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3:E28" totalsRowShown="0">
  <autoFilter ref="A13:E28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74" totalsRowShown="0" headerRowDxfId="40" dataDxfId="39">
  <autoFilter ref="A1:G174" xr:uid="{DB7B2E8A-BF7A-4C0E-AAE0-978BC32CA210}"/>
  <tableColumns count="7">
    <tableColumn id="1" xr3:uid="{86057603-0B59-4727-B9F1-402FC57F3ADD}" name="Timestamp" dataDxfId="38"/>
    <tableColumn id="2" xr3:uid="{407CBD76-E900-4369-B500-2462E84AD2F2}" name="Operation" dataDxfId="37"/>
    <tableColumn id="3" xr3:uid="{0F131029-F39E-4AC2-B463-D1D9E5626947}" name="Workflow" dataDxfId="36"/>
    <tableColumn id="4" xr3:uid="{D5CE1952-DF24-4666-B97F-4075EE416DB3}" name="Details" dataDxfId="35"/>
    <tableColumn id="5" xr3:uid="{543A8991-CDDC-4C9E-B81B-17ECAEB28DFE}" name="Status" dataDxfId="34"/>
    <tableColumn id="6" xr3:uid="{CF2B62BD-8429-4C59-A817-109A9F6D4BBB}" name="Records" dataDxfId="33"/>
    <tableColumn id="7" xr3:uid="{3F5609B9-709E-4A2A-8885-1708EF552567}" name="User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07C0AB7-0C89-4154-9C56-3701742A1BC3}" name="ReconResultsTable" displayName="ReconResultsTable" ref="A1:F13" totalsRowShown="0" headerRowDxfId="31">
  <autoFilter ref="A1:F13" xr:uid="{207C0AB7-0C89-4154-9C56-3701742A1BC3}"/>
  <tableColumns count="6">
    <tableColumn id="1" xr3:uid="{65FC369D-05CE-4F3F-8293-CAA9073938C3}" name="IsMatch"/>
    <tableColumn id="2" xr3:uid="{0A21D654-12C9-464A-8E2E-F1B8BAA0A1C6}" name="Difference" dataDxfId="30"/>
    <tableColumn id="3" xr3:uid="{0AECC2EF-105A-4073-82BC-E65F62711543}" name="ID"/>
    <tableColumn id="4" xr3:uid="{B4B6A28F-80DB-40EC-8674-0C5295C6225B}" name="Sheet1 Total" dataDxfId="29"/>
    <tableColumn id="5" xr3:uid="{5A3913BE-4AE8-4EB7-A78B-4DB7C5349ECC}" name="Sheet2 Total" dataDxfId="28"/>
    <tableColumn id="6" xr3:uid="{CAEB5F20-047E-4DFA-AFF1-F55F84DC8F74}" name="Account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C06F6-54B8-4160-BED2-9B4335348823}" name="MatchResultsTable" displayName="MatchResultsTable" ref="A1:F17" totalsRowShown="0" headerRowDxfId="27">
  <autoFilter ref="A1:F17" xr:uid="{74AC06F6-54B8-4160-BED2-9B4335348823}"/>
  <tableColumns count="6">
    <tableColumn id="1" xr3:uid="{D6BD078E-21F5-4D8D-9F11-E18651DBF418}" name="ID"/>
    <tableColumn id="2" xr3:uid="{22700499-1D4D-4E98-A570-FF76991449CC}" name="Type"/>
    <tableColumn id="3" xr3:uid="{F8FD2567-0DAE-4967-A1AF-F76117973CE2}" name="Amount"/>
    <tableColumn id="4" xr3:uid="{058499C1-5CA2-40A4-B3AA-C3EE7A8BF8A6}" name="Sheet1 Total" dataDxfId="26"/>
    <tableColumn id="5" xr3:uid="{A5BB5F3F-24CB-4FEE-8C6B-BA9F30BA82F7}" name="Sheet2 Total" dataDxfId="25"/>
    <tableColumn id="6" xr3:uid="{81F93EEE-8F0E-4BFA-B91E-8983591AE581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9BC420E-AE9F-40FA-97F4-F974A21B376E}" name="ErrorResultsTable" displayName="ErrorResultsTable" ref="A1:E5" totalsRowShown="0" headerRowDxfId="24" dataDxfId="23">
  <autoFilter ref="A1:E5" xr:uid="{69BC420E-AE9F-40FA-97F4-F974A21B376E}"/>
  <tableColumns count="5">
    <tableColumn id="1" xr3:uid="{EB826A76-0159-4DF2-BEBF-9254C03718F9}" name="Difference" dataDxfId="22"/>
    <tableColumn id="2" xr3:uid="{5FC89816-6B40-4675-A8A5-FB7648364E5C}" name="ID" dataDxfId="21"/>
    <tableColumn id="3" xr3:uid="{9980426A-5AD2-4475-931E-5712469EF68C}" name="Sheet1 Total" dataDxfId="20"/>
    <tableColumn id="4" xr3:uid="{CFFA2284-0D5A-44BE-8974-FBA0E1E292DF}" name="Sheet2 Total" dataDxfId="19"/>
    <tableColumn id="5" xr3:uid="{0236B026-3374-41C4-9C4D-8C2D2F87BDB6}" name="AccountName" dataDxfId="18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5DB8C8-1720-4D9E-8C9F-341151D288E8}" name="Table4" displayName="Table4" ref="A1:H17" totalsRowShown="0">
  <autoFilter ref="A1:H17" xr:uid="{5E5DB8C8-1720-4D9E-8C9F-341151D288E8}"/>
  <tableColumns count="8">
    <tableColumn id="1" xr3:uid="{0AD9C074-42E5-4AF4-801E-61D13BCCDBA0}" name="Account ID"/>
    <tableColumn id="2" xr3:uid="{A9286E07-1BE6-4B2F-8F47-A47519940D8B}" name="Account Name"/>
    <tableColumn id="3" xr3:uid="{119F8C7A-8492-4651-BFC1-5D87B559B0D0}" name="Transaction Type"/>
    <tableColumn id="4" xr3:uid="{963374BE-8C55-4EF6-BD50-08A7E9BEBAA2}" name="Amount"/>
    <tableColumn id="5" xr3:uid="{AA79D843-B331-4E8B-92A9-65C0EE2651F3}" name="Currency"/>
    <tableColumn id="6" xr3:uid="{83CF6E0B-7239-4277-BEF3-99FFE9BED83F}" name="Processing Date" dataDxfId="17"/>
    <tableColumn id="7" xr3:uid="{4C787157-09A8-4FC0-B4BE-1816401B0F24}" name="Net Amount" dataDxfId="16">
      <calculatedColumnFormula>Table4[[#This Row],[Amount]]*0.98</calculatedColumnFormula>
    </tableColumn>
    <tableColumn id="8" xr3:uid="{0533BB66-B482-4CF8-81F5-0F2E2BDB4CEB}" name="Upload Batch" dataDxfId="15">
      <calculatedColumnFormula>20260216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A4E6BC-D725-46A5-A403-4C446B8C6DCF}" name="ReconResultsTable" displayName="ReconResultsTable_" ref="A1:F13" totalsRowShown="0" headerRowDxfId="14">
  <autoFilter ref="A1:F13" xr:uid="{B9A4E6BC-D725-46A5-A403-4C446B8C6DCF}"/>
  <tableColumns count="6">
    <tableColumn id="1" xr3:uid="{3972F944-0123-47FC-B2BB-28932B77B30C}" name="IsMatch"/>
    <tableColumn id="2" xr3:uid="{80F5BEFE-9438-4BEC-81FF-2D38DE007690}" name="Difference" dataDxfId="13"/>
    <tableColumn id="3" xr3:uid="{26C53B7C-02E8-4655-B802-4F853FAEF135}" name="ID"/>
    <tableColumn id="4" xr3:uid="{4C13DF5B-31A1-4D67-B7D8-F064C370ADDA}" name="Sheet1 Total" dataDxfId="12"/>
    <tableColumn id="5" xr3:uid="{BC94969F-1724-4825-BD6E-25E83ED5A2A5}" name="Sheet2 Total" dataDxfId="11"/>
    <tableColumn id="6" xr3:uid="{55134C26-66F6-4941-97A9-9F19EDBB05E2}" name="Account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2D9164-0B9F-486A-9448-AE7C26A10045}" name="MatchResultsTable" displayName="MatchResultsTable_1" ref="A1:F17" totalsRowShown="0" headerRowDxfId="10">
  <autoFilter ref="A1:F17" xr:uid="{652D9164-0B9F-486A-9448-AE7C26A10045}"/>
  <tableColumns count="6">
    <tableColumn id="1" xr3:uid="{908E984E-B89F-4A0D-87AD-51493374C797}" name="ID"/>
    <tableColumn id="2" xr3:uid="{0E6C1A8F-9634-4F0D-BA96-194FB247CD29}" name="Type"/>
    <tableColumn id="3" xr3:uid="{73AE0C80-7F5D-47BF-ABF6-F680CEB0BF6B}" name="Amount"/>
    <tableColumn id="4" xr3:uid="{A2B93208-9BF9-43E3-8245-69C08BF5C6EB}" name="Sheet1 Total" dataDxfId="9"/>
    <tableColumn id="5" xr3:uid="{6857CF27-0555-4E75-9753-BD0B0388C364}" name="Sheet2 Total" dataDxfId="8"/>
    <tableColumn id="6" xr3:uid="{101631D1-0F99-47B1-BA3F-050B6F9B195A}" name="AccountName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6899B58-15CB-4240-9B70-B39A4BA1719B}" name="ErrorResultsTable" displayName="ErrorResultsTable_1" ref="A1:E5" totalsRowShown="0" headerRowDxfId="7" dataDxfId="6">
  <autoFilter ref="A1:E5" xr:uid="{C6899B58-15CB-4240-9B70-B39A4BA1719B}"/>
  <tableColumns count="5">
    <tableColumn id="1" xr3:uid="{CEEC19B3-0265-4BBB-87B5-E5FD7CFD8A4E}" name="Difference" dataDxfId="5"/>
    <tableColumn id="2" xr3:uid="{8D72A329-DBF4-4EC2-AC5C-264A3CC08752}" name="ID" dataDxfId="4"/>
    <tableColumn id="3" xr3:uid="{1E5A7DDA-0A1F-42C0-9105-6692F9EBFAB2}" name="Sheet1 Total" dataDxfId="3"/>
    <tableColumn id="4" xr3:uid="{99D74321-037E-45B5-8795-D20713F9A948}" name="Sheet2 Total" dataDxfId="2"/>
    <tableColumn id="5" xr3:uid="{4BBDFA3F-81EC-4F66-B6D6-34479AE45150}" name="AccountName" dataDxfId="1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94170-635D-4822-B623-2A8C6157B486}" name="Table9" displayName="Table9" ref="A1:G3" totalsRowShown="0">
  <autoFilter ref="A1:G3" xr:uid="{0AD94170-635D-4822-B623-2A8C6157B486}"/>
  <tableColumns count="7">
    <tableColumn id="1" xr3:uid="{70286306-E074-4547-9785-DB34B2F34F68}" name="Account ID"/>
    <tableColumn id="2" xr3:uid="{182F4B10-0425-4929-833D-C1985ED3FBD3}" name="Account Name"/>
    <tableColumn id="3" xr3:uid="{54750508-CDB0-4717-A582-71998FECA205}" name="Transaction Type"/>
    <tableColumn id="4" xr3:uid="{ADCD63A9-9267-44DB-A093-EF0B98D7007D}" name="Amount"/>
    <tableColumn id="5" xr3:uid="{C2ABC864-D9C7-49AB-8448-2B6B3133F289}" name="Currency"/>
    <tableColumn id="6" xr3:uid="{AE5D6748-2E7B-432C-A160-DA809F7FD3BC}" name="Processing Date" dataDxfId="0"/>
    <tableColumn id="7" xr3:uid="{1185D260-0837-40CF-8C73-6F5170501C28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workbookViewId="0">
      <selection activeCell="A4" sqref="A4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188</v>
      </c>
    </row>
    <row r="4" spans="1:1" x14ac:dyDescent="0.55000000000000004">
      <c r="A4" t="s">
        <v>164</v>
      </c>
    </row>
    <row r="5" spans="1:1" x14ac:dyDescent="0.55000000000000004">
      <c r="A5" t="s">
        <v>165</v>
      </c>
    </row>
    <row r="6" spans="1:1" x14ac:dyDescent="0.55000000000000004">
      <c r="A6" t="s">
        <v>166</v>
      </c>
    </row>
    <row r="7" spans="1:1" x14ac:dyDescent="0.55000000000000004">
      <c r="A7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5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  <row r="5" spans="1:2" x14ac:dyDescent="0.55000000000000004">
      <c r="A5" t="s">
        <v>183</v>
      </c>
      <c r="B5" t="s">
        <v>184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45"/>
  <sheetViews>
    <sheetView workbookViewId="0">
      <pane ySplit="1" topLeftCell="A19" activePane="bottomLeft" state="frozen"/>
      <selection pane="bottomLeft" activeCell="B36" sqref="B36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  <row r="35" spans="1:3" x14ac:dyDescent="0.55000000000000004">
      <c r="A35" t="s">
        <v>183</v>
      </c>
      <c r="B35" t="s">
        <v>20</v>
      </c>
      <c r="C35" t="s">
        <v>81</v>
      </c>
    </row>
    <row r="36" spans="1:3" x14ac:dyDescent="0.55000000000000004">
      <c r="A36" t="s">
        <v>183</v>
      </c>
      <c r="B36" t="s">
        <v>21</v>
      </c>
      <c r="C36" t="s">
        <v>81</v>
      </c>
    </row>
    <row r="37" spans="1:3" x14ac:dyDescent="0.55000000000000004">
      <c r="A37" t="s">
        <v>183</v>
      </c>
      <c r="B37" t="s">
        <v>22</v>
      </c>
      <c r="C37" t="s">
        <v>13</v>
      </c>
    </row>
    <row r="38" spans="1:3" x14ac:dyDescent="0.55000000000000004">
      <c r="A38" t="s">
        <v>183</v>
      </c>
      <c r="B38" t="s">
        <v>23</v>
      </c>
      <c r="C38" t="s">
        <v>13</v>
      </c>
    </row>
    <row r="39" spans="1:3" x14ac:dyDescent="0.55000000000000004">
      <c r="A39" t="s">
        <v>183</v>
      </c>
      <c r="B39" t="s">
        <v>62</v>
      </c>
      <c r="C39" t="s">
        <v>107</v>
      </c>
    </row>
    <row r="40" spans="1:3" x14ac:dyDescent="0.55000000000000004">
      <c r="A40" t="s">
        <v>183</v>
      </c>
      <c r="B40" t="s">
        <v>63</v>
      </c>
      <c r="C40" t="s">
        <v>158</v>
      </c>
    </row>
    <row r="41" spans="1:3" x14ac:dyDescent="0.55000000000000004">
      <c r="A41" t="s">
        <v>183</v>
      </c>
      <c r="B41" t="s">
        <v>46</v>
      </c>
      <c r="C41" t="s">
        <v>82</v>
      </c>
    </row>
    <row r="42" spans="1:3" x14ac:dyDescent="0.55000000000000004">
      <c r="A42" t="s">
        <v>183</v>
      </c>
      <c r="B42" t="s">
        <v>47</v>
      </c>
      <c r="C42" t="s">
        <v>82</v>
      </c>
    </row>
    <row r="43" spans="1:3" x14ac:dyDescent="0.55000000000000004">
      <c r="A43" t="s">
        <v>183</v>
      </c>
      <c r="B43" t="s">
        <v>15</v>
      </c>
      <c r="C43">
        <v>0.05</v>
      </c>
    </row>
    <row r="44" spans="1:3" x14ac:dyDescent="0.55000000000000004">
      <c r="A44" t="s">
        <v>183</v>
      </c>
      <c r="B44" t="s">
        <v>53</v>
      </c>
      <c r="C44" t="s">
        <v>54</v>
      </c>
    </row>
    <row r="45" spans="1:3" x14ac:dyDescent="0.55000000000000004">
      <c r="A45" t="s">
        <v>183</v>
      </c>
      <c r="B45" t="s">
        <v>16</v>
      </c>
      <c r="C45" t="s">
        <v>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8"/>
  <sheetViews>
    <sheetView workbookViewId="0">
      <selection activeCell="C11" sqref="C11"/>
    </sheetView>
  </sheetViews>
  <sheetFormatPr defaultRowHeight="14.4" x14ac:dyDescent="0.55000000000000004"/>
  <cols>
    <col min="1" max="1" width="13.62890625" bestFit="1" customWidth="1"/>
    <col min="2" max="3" width="22.05078125" bestFit="1" customWidth="1"/>
    <col min="4" max="4" width="14" bestFit="1" customWidth="1"/>
  </cols>
  <sheetData>
    <row r="1" spans="1:5" x14ac:dyDescent="0.55000000000000004">
      <c r="A1" t="s">
        <v>26</v>
      </c>
      <c r="B1" t="s">
        <v>2</v>
      </c>
      <c r="C1" t="s">
        <v>1</v>
      </c>
    </row>
    <row r="2" spans="1:5" x14ac:dyDescent="0.55000000000000004">
      <c r="B2" t="s">
        <v>99</v>
      </c>
      <c r="C2" t="s">
        <v>100</v>
      </c>
    </row>
    <row r="3" spans="1:5" x14ac:dyDescent="0.55000000000000004">
      <c r="B3" t="s">
        <v>7</v>
      </c>
      <c r="C3" t="s">
        <v>14</v>
      </c>
    </row>
    <row r="4" spans="1:5" x14ac:dyDescent="0.55000000000000004">
      <c r="B4" t="s">
        <v>8</v>
      </c>
      <c r="C4" t="s">
        <v>101</v>
      </c>
    </row>
    <row r="5" spans="1:5" x14ac:dyDescent="0.55000000000000004">
      <c r="B5" t="s">
        <v>102</v>
      </c>
    </row>
    <row r="6" spans="1:5" x14ac:dyDescent="0.55000000000000004">
      <c r="B6" t="s">
        <v>16</v>
      </c>
      <c r="C6" t="s">
        <v>103</v>
      </c>
    </row>
    <row r="7" spans="1:5" x14ac:dyDescent="0.55000000000000004">
      <c r="A7" t="s">
        <v>183</v>
      </c>
      <c r="B7" t="s">
        <v>99</v>
      </c>
      <c r="C7" t="s">
        <v>100</v>
      </c>
    </row>
    <row r="8" spans="1:5" x14ac:dyDescent="0.55000000000000004">
      <c r="A8" t="s">
        <v>183</v>
      </c>
      <c r="B8" t="s">
        <v>7</v>
      </c>
      <c r="C8" t="s">
        <v>14</v>
      </c>
    </row>
    <row r="9" spans="1:5" x14ac:dyDescent="0.55000000000000004">
      <c r="A9" t="s">
        <v>183</v>
      </c>
      <c r="B9" t="s">
        <v>8</v>
      </c>
      <c r="C9" t="s">
        <v>101</v>
      </c>
    </row>
    <row r="10" spans="1:5" x14ac:dyDescent="0.55000000000000004">
      <c r="A10" t="s">
        <v>183</v>
      </c>
      <c r="B10" t="s">
        <v>102</v>
      </c>
      <c r="C10" t="s">
        <v>186</v>
      </c>
    </row>
    <row r="11" spans="1:5" x14ac:dyDescent="0.55000000000000004">
      <c r="A11" t="s">
        <v>183</v>
      </c>
      <c r="B11" t="s">
        <v>16</v>
      </c>
      <c r="C11" t="s">
        <v>103</v>
      </c>
    </row>
    <row r="13" spans="1:5" x14ac:dyDescent="0.55000000000000004">
      <c r="A13" t="s">
        <v>26</v>
      </c>
      <c r="B13" t="s">
        <v>9</v>
      </c>
      <c r="C13" t="s">
        <v>10</v>
      </c>
      <c r="D13" t="s">
        <v>11</v>
      </c>
      <c r="E13" t="s">
        <v>12</v>
      </c>
    </row>
    <row r="14" spans="1:5" x14ac:dyDescent="0.55000000000000004">
      <c r="A14" t="s">
        <v>78</v>
      </c>
      <c r="B14">
        <v>1</v>
      </c>
      <c r="C14" t="s">
        <v>104</v>
      </c>
      <c r="D14" t="s">
        <v>105</v>
      </c>
      <c r="E14" t="s">
        <v>0</v>
      </c>
    </row>
    <row r="15" spans="1:5" x14ac:dyDescent="0.55000000000000004">
      <c r="A15" t="s">
        <v>78</v>
      </c>
      <c r="B15">
        <v>2</v>
      </c>
      <c r="C15" t="s">
        <v>106</v>
      </c>
      <c r="D15" t="s">
        <v>105</v>
      </c>
      <c r="E15" t="s">
        <v>107</v>
      </c>
    </row>
    <row r="16" spans="1:5" x14ac:dyDescent="0.55000000000000004">
      <c r="A16" t="s">
        <v>78</v>
      </c>
      <c r="B16">
        <v>3</v>
      </c>
      <c r="C16" t="s">
        <v>108</v>
      </c>
      <c r="D16" t="s">
        <v>105</v>
      </c>
      <c r="E16" t="s">
        <v>11</v>
      </c>
    </row>
    <row r="17" spans="1:5" x14ac:dyDescent="0.55000000000000004">
      <c r="A17" t="s">
        <v>78</v>
      </c>
      <c r="B17">
        <v>4</v>
      </c>
      <c r="C17" t="s">
        <v>13</v>
      </c>
      <c r="D17" t="s">
        <v>105</v>
      </c>
      <c r="E17" t="s">
        <v>13</v>
      </c>
    </row>
    <row r="18" spans="1:5" x14ac:dyDescent="0.55000000000000004">
      <c r="A18" t="s">
        <v>78</v>
      </c>
      <c r="B18">
        <v>5</v>
      </c>
      <c r="C18" t="s">
        <v>109</v>
      </c>
      <c r="D18" t="s">
        <v>110</v>
      </c>
      <c r="E18" t="s">
        <v>111</v>
      </c>
    </row>
    <row r="19" spans="1:5" x14ac:dyDescent="0.55000000000000004">
      <c r="A19" t="s">
        <v>78</v>
      </c>
      <c r="B19">
        <v>6</v>
      </c>
      <c r="C19" t="s">
        <v>112</v>
      </c>
      <c r="D19" t="s">
        <v>110</v>
      </c>
      <c r="E19" s="5">
        <f ca="1">TODAY()</f>
        <v>46070</v>
      </c>
    </row>
    <row r="20" spans="1:5" x14ac:dyDescent="0.55000000000000004">
      <c r="A20" t="s">
        <v>78</v>
      </c>
      <c r="B20">
        <v>7</v>
      </c>
      <c r="C20" t="s">
        <v>113</v>
      </c>
      <c r="D20" t="s">
        <v>114</v>
      </c>
      <c r="E20" t="s">
        <v>115</v>
      </c>
    </row>
    <row r="21" spans="1:5" x14ac:dyDescent="0.55000000000000004">
      <c r="A21" t="s">
        <v>78</v>
      </c>
      <c r="B21">
        <v>8</v>
      </c>
      <c r="C21" t="s">
        <v>116</v>
      </c>
      <c r="D21" t="s">
        <v>114</v>
      </c>
      <c r="E21" t="str">
        <f ca="1">TEXT(TODAY(),"YYYYMMDD")</f>
        <v>20260217</v>
      </c>
    </row>
    <row r="22" spans="1:5" x14ac:dyDescent="0.55000000000000004">
      <c r="A22" t="s">
        <v>183</v>
      </c>
      <c r="B22">
        <v>1</v>
      </c>
      <c r="C22" t="s">
        <v>104</v>
      </c>
      <c r="D22" t="s">
        <v>105</v>
      </c>
      <c r="E22" t="s">
        <v>0</v>
      </c>
    </row>
    <row r="23" spans="1:5" x14ac:dyDescent="0.55000000000000004">
      <c r="A23" t="s">
        <v>183</v>
      </c>
      <c r="B23">
        <v>2</v>
      </c>
      <c r="C23" t="s">
        <v>106</v>
      </c>
      <c r="D23" t="s">
        <v>105</v>
      </c>
      <c r="E23" t="s">
        <v>107</v>
      </c>
    </row>
    <row r="24" spans="1:5" x14ac:dyDescent="0.55000000000000004">
      <c r="A24" t="s">
        <v>183</v>
      </c>
      <c r="B24">
        <v>3</v>
      </c>
      <c r="C24" t="s">
        <v>108</v>
      </c>
      <c r="D24" t="s">
        <v>105</v>
      </c>
      <c r="E24" t="s">
        <v>11</v>
      </c>
    </row>
    <row r="25" spans="1:5" x14ac:dyDescent="0.55000000000000004">
      <c r="A25" t="s">
        <v>183</v>
      </c>
      <c r="B25">
        <v>4</v>
      </c>
      <c r="C25" t="s">
        <v>13</v>
      </c>
      <c r="D25" t="s">
        <v>105</v>
      </c>
      <c r="E25" t="s">
        <v>13</v>
      </c>
    </row>
    <row r="26" spans="1:5" x14ac:dyDescent="0.55000000000000004">
      <c r="A26" t="s">
        <v>183</v>
      </c>
      <c r="B26">
        <v>5</v>
      </c>
      <c r="C26" t="s">
        <v>109</v>
      </c>
      <c r="D26" t="s">
        <v>110</v>
      </c>
      <c r="E26" t="s">
        <v>111</v>
      </c>
    </row>
    <row r="27" spans="1:5" x14ac:dyDescent="0.55000000000000004">
      <c r="A27" t="s">
        <v>183</v>
      </c>
      <c r="B27">
        <v>6</v>
      </c>
      <c r="C27" t="s">
        <v>112</v>
      </c>
      <c r="D27" t="s">
        <v>110</v>
      </c>
      <c r="E27" s="5">
        <f ca="1">TODAY()</f>
        <v>46070</v>
      </c>
    </row>
    <row r="28" spans="1:5" x14ac:dyDescent="0.55000000000000004">
      <c r="A28" t="s">
        <v>183</v>
      </c>
      <c r="B28">
        <v>8</v>
      </c>
      <c r="C28" t="s">
        <v>116</v>
      </c>
      <c r="D28" t="s">
        <v>114</v>
      </c>
      <c r="E28" t="str">
        <f ca="1">TEXT(TODAY(),"YYYYMMDD")</f>
        <v>20260217</v>
      </c>
    </row>
  </sheetData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529590</xdr:colOff>
                    <xdr:row>0</xdr:row>
                    <xdr:rowOff>45720</xdr:rowOff>
                  </from>
                  <to>
                    <xdr:col>4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168</v>
      </c>
      <c r="C26" t="s">
        <v>66</v>
      </c>
      <c r="D26">
        <v>0.01</v>
      </c>
      <c r="E26" t="s">
        <v>169</v>
      </c>
      <c r="F26" t="s">
        <v>118</v>
      </c>
    </row>
    <row r="27" spans="1:6" x14ac:dyDescent="0.55000000000000004">
      <c r="A27">
        <v>1014</v>
      </c>
      <c r="B27" t="s">
        <v>168</v>
      </c>
      <c r="C27" t="s">
        <v>66</v>
      </c>
      <c r="D27">
        <v>0.02</v>
      </c>
      <c r="E27" t="s">
        <v>170</v>
      </c>
      <c r="F27" t="s">
        <v>118</v>
      </c>
    </row>
    <row r="28" spans="1:6" x14ac:dyDescent="0.55000000000000004">
      <c r="A28">
        <v>1015</v>
      </c>
      <c r="B28" t="s">
        <v>171</v>
      </c>
      <c r="C28" t="s">
        <v>66</v>
      </c>
      <c r="D28">
        <v>-0.01</v>
      </c>
      <c r="E28" t="s">
        <v>172</v>
      </c>
      <c r="F28" t="s">
        <v>118</v>
      </c>
    </row>
    <row r="29" spans="1:6" x14ac:dyDescent="0.55000000000000004">
      <c r="A29">
        <v>1015</v>
      </c>
      <c r="B29" t="s">
        <v>171</v>
      </c>
      <c r="C29" t="s">
        <v>66</v>
      </c>
      <c r="D29">
        <v>-0.02</v>
      </c>
      <c r="E29" t="s">
        <v>173</v>
      </c>
      <c r="F29" t="s">
        <v>118</v>
      </c>
    </row>
    <row r="30" spans="1:6" x14ac:dyDescent="0.55000000000000004">
      <c r="A30">
        <v>1016</v>
      </c>
      <c r="B30" t="s">
        <v>174</v>
      </c>
      <c r="C30" t="s">
        <v>66</v>
      </c>
      <c r="D30">
        <v>0.03</v>
      </c>
      <c r="E30" t="s">
        <v>175</v>
      </c>
      <c r="F30" t="s">
        <v>118</v>
      </c>
    </row>
    <row r="31" spans="1:6" x14ac:dyDescent="0.55000000000000004">
      <c r="A31">
        <v>1016</v>
      </c>
      <c r="B31" t="s">
        <v>174</v>
      </c>
      <c r="C31" t="s">
        <v>66</v>
      </c>
      <c r="D31">
        <v>-0.01</v>
      </c>
      <c r="E31" t="s">
        <v>176</v>
      </c>
      <c r="F31" t="s">
        <v>118</v>
      </c>
    </row>
    <row r="32" spans="1:6" x14ac:dyDescent="0.55000000000000004">
      <c r="A32">
        <v>1017</v>
      </c>
      <c r="B32" t="s">
        <v>177</v>
      </c>
      <c r="C32" t="s">
        <v>66</v>
      </c>
      <c r="D32">
        <v>0.01</v>
      </c>
      <c r="E32" t="s">
        <v>178</v>
      </c>
      <c r="F32" t="s">
        <v>118</v>
      </c>
    </row>
    <row r="33" spans="1:6" x14ac:dyDescent="0.55000000000000004">
      <c r="A33">
        <v>1017</v>
      </c>
      <c r="B33" t="s">
        <v>177</v>
      </c>
      <c r="C33" t="s">
        <v>66</v>
      </c>
      <c r="D33">
        <v>-0.03</v>
      </c>
      <c r="E33" t="s">
        <v>179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74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3.156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8">
        <v>46069.570636574077</v>
      </c>
      <c r="B156" s="6" t="s">
        <v>32</v>
      </c>
      <c r="C156" s="6" t="s">
        <v>33</v>
      </c>
      <c r="D156" s="6" t="s">
        <v>64</v>
      </c>
      <c r="E156" s="6" t="s">
        <v>35</v>
      </c>
      <c r="F156" s="6">
        <v>11</v>
      </c>
      <c r="G156" s="6" t="s">
        <v>28</v>
      </c>
    </row>
    <row r="157" spans="1:7" x14ac:dyDescent="0.55000000000000004">
      <c r="A157" s="8">
        <v>46069.570717592593</v>
      </c>
      <c r="B157" s="6" t="s">
        <v>32</v>
      </c>
      <c r="C157" s="6" t="s">
        <v>33</v>
      </c>
      <c r="D157" s="6" t="s">
        <v>67</v>
      </c>
      <c r="E157" s="6" t="s">
        <v>35</v>
      </c>
      <c r="F157" s="6">
        <v>32</v>
      </c>
      <c r="G157" s="6" t="s">
        <v>28</v>
      </c>
    </row>
    <row r="158" spans="1:7" x14ac:dyDescent="0.55000000000000004">
      <c r="A158" s="8">
        <v>46069.570775462962</v>
      </c>
      <c r="B158" s="6" t="s">
        <v>37</v>
      </c>
      <c r="C158" s="6" t="s">
        <v>78</v>
      </c>
      <c r="D158" s="6" t="s">
        <v>180</v>
      </c>
      <c r="E158" s="6" t="s">
        <v>35</v>
      </c>
      <c r="F158" s="6">
        <v>12</v>
      </c>
      <c r="G158" s="6" t="s">
        <v>28</v>
      </c>
    </row>
    <row r="159" spans="1:7" x14ac:dyDescent="0.55000000000000004">
      <c r="A159" s="8">
        <v>46069.571053240739</v>
      </c>
      <c r="B159" s="6" t="s">
        <v>39</v>
      </c>
      <c r="C159" s="6" t="s">
        <v>78</v>
      </c>
      <c r="D159" s="6" t="s">
        <v>156</v>
      </c>
      <c r="E159" s="6" t="s">
        <v>35</v>
      </c>
      <c r="F159" s="6">
        <v>8</v>
      </c>
      <c r="G159" s="6" t="s">
        <v>28</v>
      </c>
    </row>
    <row r="160" spans="1:7" x14ac:dyDescent="0.55000000000000004">
      <c r="A160" s="8">
        <v>46069.571192129632</v>
      </c>
      <c r="B160" s="6" t="s">
        <v>39</v>
      </c>
      <c r="C160" s="6" t="s">
        <v>78</v>
      </c>
      <c r="D160" s="6" t="s">
        <v>157</v>
      </c>
      <c r="E160" s="6" t="s">
        <v>35</v>
      </c>
      <c r="F160" s="6">
        <v>8</v>
      </c>
      <c r="G160" s="6" t="s">
        <v>28</v>
      </c>
    </row>
    <row r="161" spans="1:7" x14ac:dyDescent="0.55000000000000004">
      <c r="A161" s="8">
        <v>46069.571608796294</v>
      </c>
      <c r="B161" s="6" t="s">
        <v>37</v>
      </c>
      <c r="C161" s="6" t="s">
        <v>78</v>
      </c>
      <c r="D161" s="6" t="s">
        <v>181</v>
      </c>
      <c r="E161" s="6" t="s">
        <v>35</v>
      </c>
      <c r="F161" s="6">
        <v>12</v>
      </c>
      <c r="G161" s="6" t="s">
        <v>28</v>
      </c>
    </row>
    <row r="162" spans="1:7" x14ac:dyDescent="0.55000000000000004">
      <c r="A162" s="8">
        <v>46069.571689814817</v>
      </c>
      <c r="B162" s="6" t="s">
        <v>39</v>
      </c>
      <c r="C162" s="6" t="s">
        <v>78</v>
      </c>
      <c r="D162" s="6" t="s">
        <v>156</v>
      </c>
      <c r="E162" s="6" t="s">
        <v>35</v>
      </c>
      <c r="F162" s="6">
        <v>16</v>
      </c>
      <c r="G162" s="6" t="s">
        <v>28</v>
      </c>
    </row>
    <row r="163" spans="1:7" x14ac:dyDescent="0.55000000000000004">
      <c r="A163" s="8">
        <v>46069.572453703702</v>
      </c>
      <c r="B163" s="6" t="s">
        <v>32</v>
      </c>
      <c r="C163" s="6" t="s">
        <v>33</v>
      </c>
      <c r="D163" s="6" t="s">
        <v>67</v>
      </c>
      <c r="E163" s="6" t="s">
        <v>35</v>
      </c>
      <c r="F163" s="6">
        <v>32</v>
      </c>
      <c r="G163" s="6" t="s">
        <v>28</v>
      </c>
    </row>
    <row r="164" spans="1:7" x14ac:dyDescent="0.55000000000000004">
      <c r="A164" s="8">
        <v>46069.572465277779</v>
      </c>
      <c r="B164" s="6" t="s">
        <v>37</v>
      </c>
      <c r="C164" s="6" t="s">
        <v>78</v>
      </c>
      <c r="D164" s="6" t="s">
        <v>181</v>
      </c>
      <c r="E164" s="6" t="s">
        <v>35</v>
      </c>
      <c r="F164" s="6">
        <v>12</v>
      </c>
      <c r="G164" s="6" t="s">
        <v>28</v>
      </c>
    </row>
    <row r="165" spans="1:7" x14ac:dyDescent="0.55000000000000004">
      <c r="A165" s="8">
        <v>46069.572592592594</v>
      </c>
      <c r="B165" s="6" t="s">
        <v>39</v>
      </c>
      <c r="C165" s="6" t="s">
        <v>78</v>
      </c>
      <c r="D165" s="6" t="s">
        <v>156</v>
      </c>
      <c r="E165" s="6" t="s">
        <v>35</v>
      </c>
      <c r="F165" s="6">
        <v>16</v>
      </c>
      <c r="G165" s="6" t="s">
        <v>28</v>
      </c>
    </row>
    <row r="166" spans="1:7" x14ac:dyDescent="0.55000000000000004">
      <c r="A166" s="8">
        <v>46069.572835648149</v>
      </c>
      <c r="B166" s="6" t="s">
        <v>39</v>
      </c>
      <c r="C166" s="6" t="s">
        <v>78</v>
      </c>
      <c r="D166" s="6" t="s">
        <v>157</v>
      </c>
      <c r="E166" s="6" t="s">
        <v>35</v>
      </c>
      <c r="F166" s="6">
        <v>10</v>
      </c>
      <c r="G166" s="6" t="s">
        <v>28</v>
      </c>
    </row>
    <row r="167" spans="1:7" x14ac:dyDescent="0.55000000000000004">
      <c r="A167" s="8">
        <v>46069.574421296296</v>
      </c>
      <c r="B167" s="6" t="s">
        <v>32</v>
      </c>
      <c r="C167" s="6" t="s">
        <v>33</v>
      </c>
      <c r="D167" s="6" t="s">
        <v>64</v>
      </c>
      <c r="E167" s="6" t="s">
        <v>35</v>
      </c>
      <c r="F167" s="6">
        <v>11</v>
      </c>
      <c r="G167" s="6" t="s">
        <v>28</v>
      </c>
    </row>
    <row r="168" spans="1:7" x14ac:dyDescent="0.55000000000000004">
      <c r="A168" s="8">
        <v>46069.574479166666</v>
      </c>
      <c r="B168" s="6" t="s">
        <v>32</v>
      </c>
      <c r="C168" s="6" t="s">
        <v>33</v>
      </c>
      <c r="D168" s="6" t="s">
        <v>67</v>
      </c>
      <c r="E168" s="6" t="s">
        <v>35</v>
      </c>
      <c r="F168" s="6">
        <v>32</v>
      </c>
      <c r="G168" s="6" t="s">
        <v>28</v>
      </c>
    </row>
    <row r="169" spans="1:7" x14ac:dyDescent="0.55000000000000004">
      <c r="A169" s="8">
        <v>46069.574525462966</v>
      </c>
      <c r="B169" s="6" t="s">
        <v>37</v>
      </c>
      <c r="C169" s="6" t="s">
        <v>78</v>
      </c>
      <c r="D169" s="6" t="s">
        <v>181</v>
      </c>
      <c r="E169" s="6" t="s">
        <v>35</v>
      </c>
      <c r="F169" s="6">
        <v>12</v>
      </c>
      <c r="G169" s="6" t="s">
        <v>28</v>
      </c>
    </row>
    <row r="170" spans="1:7" x14ac:dyDescent="0.55000000000000004">
      <c r="A170" s="8">
        <v>46069.574548611112</v>
      </c>
      <c r="B170" s="6" t="s">
        <v>39</v>
      </c>
      <c r="C170" s="6" t="s">
        <v>78</v>
      </c>
      <c r="D170" s="6" t="s">
        <v>157</v>
      </c>
      <c r="E170" s="6" t="s">
        <v>35</v>
      </c>
      <c r="F170" s="6">
        <v>10</v>
      </c>
      <c r="G170" s="6" t="s">
        <v>28</v>
      </c>
    </row>
    <row r="171" spans="1:7" x14ac:dyDescent="0.55000000000000004">
      <c r="A171" s="8">
        <v>46069.661365740743</v>
      </c>
      <c r="B171" s="6" t="s">
        <v>39</v>
      </c>
      <c r="C171" s="6" t="s">
        <v>78</v>
      </c>
      <c r="D171" s="6" t="s">
        <v>156</v>
      </c>
      <c r="E171" s="6" t="s">
        <v>35</v>
      </c>
      <c r="F171" s="6">
        <v>16</v>
      </c>
      <c r="G171" s="6" t="s">
        <v>28</v>
      </c>
    </row>
    <row r="172" spans="1:7" x14ac:dyDescent="0.55000000000000004">
      <c r="A172" s="8">
        <v>46069.662557870368</v>
      </c>
      <c r="B172" s="6" t="s">
        <v>37</v>
      </c>
      <c r="C172" s="6" t="s">
        <v>183</v>
      </c>
      <c r="D172" s="6" t="s">
        <v>181</v>
      </c>
      <c r="E172" s="6" t="s">
        <v>35</v>
      </c>
      <c r="F172" s="6">
        <v>12</v>
      </c>
      <c r="G172" s="6" t="s">
        <v>28</v>
      </c>
    </row>
    <row r="173" spans="1:7" x14ac:dyDescent="0.55000000000000004">
      <c r="A173" s="8">
        <v>46069.662604166668</v>
      </c>
      <c r="B173" s="6" t="s">
        <v>39</v>
      </c>
      <c r="C173" s="6" t="s">
        <v>183</v>
      </c>
      <c r="D173" s="6" t="s">
        <v>185</v>
      </c>
      <c r="E173" s="6" t="s">
        <v>35</v>
      </c>
      <c r="F173" s="6">
        <v>16</v>
      </c>
      <c r="G173" s="6" t="s">
        <v>28</v>
      </c>
    </row>
    <row r="174" spans="1:7" x14ac:dyDescent="0.55000000000000004">
      <c r="A174" s="8">
        <v>46069.665972222225</v>
      </c>
      <c r="B174" s="6" t="s">
        <v>39</v>
      </c>
      <c r="C174" s="6" t="s">
        <v>183</v>
      </c>
      <c r="D174" s="6" t="s">
        <v>187</v>
      </c>
      <c r="E174" s="6" t="s">
        <v>35</v>
      </c>
      <c r="F174" s="6">
        <v>2</v>
      </c>
      <c r="G174" s="6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7"/>
  <sheetViews>
    <sheetView tabSelected="1" workbookViewId="0">
      <pane ySplit="1" topLeftCell="A2" activePane="bottomLeft" state="frozen"/>
      <selection pane="bottomLeft" activeCell="J5" sqref="J5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ht="38.1" customHeight="1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Table4[[#This Row],[Amount]]*0.98</f>
        <v>98</v>
      </c>
      <c r="H2">
        <f t="shared" ref="H2:H17" si="0"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Table4[[#This Row],[Amount]]*0.98</f>
        <v>49</v>
      </c>
      <c r="H3">
        <f t="shared" si="0"/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Table4[[#This Row],[Amount]]*0.98</f>
        <v>147.49</v>
      </c>
      <c r="H4">
        <f t="shared" si="0"/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Table4[[#This Row],[Amount]]*0.98</f>
        <v>73.5</v>
      </c>
      <c r="H5">
        <f t="shared" si="0"/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Table4[[#This Row],[Amount]]*0.98</f>
        <v>196</v>
      </c>
      <c r="H6">
        <f t="shared" si="0"/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Table4[[#This Row],[Amount]]*0.98</f>
        <v>98</v>
      </c>
      <c r="H7">
        <f t="shared" si="0"/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Table4[[#This Row],[Amount]]*0.98</f>
        <v>147</v>
      </c>
      <c r="H8">
        <f t="shared" si="0"/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Table4[[#This Row],[Amount]]*0.98</f>
        <v>58.8</v>
      </c>
      <c r="H9">
        <f t="shared" si="0"/>
        <v>20260216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  <c r="G10">
        <f>Table4[[#This Row],[Amount]]*0.98</f>
        <v>9.7999999999999997E-3</v>
      </c>
      <c r="H10">
        <f t="shared" si="0"/>
        <v>20260216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  <c r="G11">
        <f>Table4[[#This Row],[Amount]]*0.98</f>
        <v>1.9599999999999999E-2</v>
      </c>
      <c r="H11">
        <f t="shared" si="0"/>
        <v>20260216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  <c r="G12">
        <f>Table4[[#This Row],[Amount]]*0.98</f>
        <v>-9.7999999999999997E-3</v>
      </c>
      <c r="H12">
        <f t="shared" si="0"/>
        <v>20260216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  <c r="G13">
        <f>Table4[[#This Row],[Amount]]*0.98</f>
        <v>-1.9599999999999999E-2</v>
      </c>
      <c r="H13">
        <f t="shared" si="0"/>
        <v>20260216</v>
      </c>
    </row>
    <row r="14" spans="1:8" x14ac:dyDescent="0.55000000000000004">
      <c r="A14">
        <v>1016</v>
      </c>
      <c r="C14" t="s">
        <v>66</v>
      </c>
      <c r="D14">
        <v>0.03</v>
      </c>
      <c r="E14" t="s">
        <v>111</v>
      </c>
      <c r="F14" s="5">
        <v>46069</v>
      </c>
      <c r="G14">
        <f>Table4[[#This Row],[Amount]]*0.98</f>
        <v>2.9399999999999999E-2</v>
      </c>
      <c r="H14">
        <f t="shared" si="0"/>
        <v>20260216</v>
      </c>
    </row>
    <row r="15" spans="1:8" x14ac:dyDescent="0.55000000000000004">
      <c r="A15">
        <v>1016</v>
      </c>
      <c r="C15" t="s">
        <v>66</v>
      </c>
      <c r="D15">
        <v>-0.01</v>
      </c>
      <c r="E15" t="s">
        <v>111</v>
      </c>
      <c r="F15" s="5">
        <v>46069</v>
      </c>
      <c r="G15">
        <f>Table4[[#This Row],[Amount]]*0.98</f>
        <v>-9.7999999999999997E-3</v>
      </c>
      <c r="H15">
        <f t="shared" si="0"/>
        <v>20260216</v>
      </c>
    </row>
    <row r="16" spans="1:8" x14ac:dyDescent="0.55000000000000004">
      <c r="A16">
        <v>1017</v>
      </c>
      <c r="C16" t="s">
        <v>66</v>
      </c>
      <c r="D16">
        <v>0.01</v>
      </c>
      <c r="E16" t="s">
        <v>111</v>
      </c>
      <c r="F16" s="5">
        <v>46069</v>
      </c>
      <c r="G16">
        <f>Table4[[#This Row],[Amount]]*0.98</f>
        <v>9.7999999999999997E-3</v>
      </c>
      <c r="H16">
        <f t="shared" si="0"/>
        <v>20260216</v>
      </c>
    </row>
    <row r="17" spans="1:8" x14ac:dyDescent="0.55000000000000004">
      <c r="A17">
        <v>1017</v>
      </c>
      <c r="C17" t="s">
        <v>66</v>
      </c>
      <c r="D17">
        <v>-0.03</v>
      </c>
      <c r="E17" t="s">
        <v>111</v>
      </c>
      <c r="F17" s="5">
        <v>46069</v>
      </c>
      <c r="G17">
        <f>Table4[[#This Row],[Amount]]*0.98</f>
        <v>-2.9399999999999999E-2</v>
      </c>
      <c r="H17">
        <f t="shared" si="0"/>
        <v>20260216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Button 2">
              <controlPr defaultSize="0" print="0" autoFill="0" autoPict="0" macro="[0]!SaveSheetToFile">
                <anchor moveWithCells="1" sizeWithCells="1">
                  <from>
                    <xdr:col>9</xdr:col>
                    <xdr:colOff>7620</xdr:colOff>
                    <xdr:row>0</xdr:row>
                    <xdr:rowOff>11430</xdr:rowOff>
                  </from>
                  <to>
                    <xdr:col>9</xdr:col>
                    <xdr:colOff>617220</xdr:colOff>
                    <xdr:row>0</xdr:row>
                    <xdr:rowOff>293370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/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/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B99A-29C2-494A-BC9D-F7FA7FB99F54}">
  <sheetPr codeName="Sheet9"/>
  <dimension ref="A1:H3"/>
  <sheetViews>
    <sheetView workbookViewId="0">
      <selection activeCell="A2" sqref="A2:G3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0.2070312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182</v>
      </c>
      <c r="H1" t="s">
        <v>116</v>
      </c>
    </row>
    <row r="2" spans="1:8" x14ac:dyDescent="0.55000000000000004">
      <c r="A2">
        <v>1002</v>
      </c>
      <c r="B2" t="s">
        <v>119</v>
      </c>
      <c r="C2" t="s">
        <v>66</v>
      </c>
      <c r="D2">
        <v>150.5</v>
      </c>
      <c r="E2" t="s">
        <v>111</v>
      </c>
      <c r="F2" s="5">
        <v>46069</v>
      </c>
      <c r="H2">
        <f>20260216</f>
        <v>20260216</v>
      </c>
    </row>
    <row r="3" spans="1:8" x14ac:dyDescent="0.55000000000000004">
      <c r="A3">
        <v>1002</v>
      </c>
      <c r="B3" t="s">
        <v>119</v>
      </c>
      <c r="C3" t="s">
        <v>66</v>
      </c>
      <c r="D3">
        <v>75</v>
      </c>
      <c r="E3" t="s">
        <v>111</v>
      </c>
      <c r="F3" s="5">
        <v>46069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  <vt:lpstr>Fee 2 All Results</vt:lpstr>
      <vt:lpstr>Fee 2 Match Results</vt:lpstr>
      <vt:lpstr>Fee 2 Error Results</vt:lpstr>
      <vt:lpstr>Fee 2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2026-02-17T20:12:27Z</dcterms:modified>
</cp:coreProperties>
</file>