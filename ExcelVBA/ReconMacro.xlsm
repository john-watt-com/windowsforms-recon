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7212" documentId="8_{02591AEE-AA27-4992-A490-F4BCF6A95374}" xr6:coauthVersionLast="47" xr6:coauthVersionMax="47" xr10:uidLastSave="{B4B3AA27-5515-44C9-A848-102352AA72D9}"/>
  <bookViews>
    <workbookView xWindow="-96" yWindow="-96" windowWidth="23232" windowHeight="13872" tabRatio="901" firstSheet="1" activeTab="10" xr2:uid="{713D0E20-2510-4F46-8450-E6CC1A43B8CC}"/>
  </bookViews>
  <sheets>
    <sheet name="ConfigReference" sheetId="35" state="hidden" r:id="rId1"/>
    <sheet name="Backlog" sheetId="11" r:id="rId2"/>
    <sheet name="Workflows" sheetId="12" r:id="rId3"/>
    <sheet name="Recon Config" sheetId="1" r:id="rId4"/>
    <sheet name="Transform Config" sheetId="8" r:id="rId5"/>
    <sheet name="Recon Config - Summary" sheetId="13" state="hidden" r:id="rId6"/>
    <sheet name="Sheet1" sheetId="3" r:id="rId7"/>
    <sheet name="Sheet2" sheetId="2" r:id="rId8"/>
    <sheet name="Activity Log" sheetId="18" state="hidden" r:id="rId9"/>
    <sheet name="Fee All Results" sheetId="25" r:id="rId10"/>
    <sheet name="Fee Match Results" sheetId="26" r:id="rId11"/>
    <sheet name="Fee Error Results" sheetId="27" state="hidden" r:id="rId12"/>
    <sheet name="Fee Upload Ready" sheetId="28" state="hidden" r:id="rId13"/>
    <sheet name="Fee 2 All Results" sheetId="29" state="hidden" r:id="rId14"/>
    <sheet name="Fee 2 Match Results" sheetId="30" state="hidden" r:id="rId15"/>
    <sheet name="Fee 2 Error Results" sheetId="31" state="hidden" r:id="rId16"/>
    <sheet name="Fee 2 Upload Ready" sheetId="32" state="hidden" r:id="rId17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2" l="1"/>
  <c r="H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E28" i="8"/>
  <c r="E27" i="8"/>
  <c r="E19" i="8"/>
  <c r="E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<sst xmlns="http://schemas.openxmlformats.org/spreadsheetml/2006/main" count="1817" uniqueCount="295">
  <si>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</si>
  <si>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</si>
  <si>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</si>
  <si>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</si>
  <si>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</si>
  <si>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</si>
  <si>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</si>
  <si>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</si>
  <si>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</si>
  <si>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</si>
  <si>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</si>
  <si>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</si>
  <si>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</si>
  <si>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</si>
  <si>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</si>
  <si>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</si>
  <si>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</si>
  <si>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</si>
  <si>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</si>
  <si>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</si>
  <si>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</si>
  <si>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</si>
  <si>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</si>
  <si>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</si>
  <si>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</si>
  <si>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</si>
  <si>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</si>
  <si>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</si>
  <si>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</si>
  <si>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</si>
  <si>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</si>
  <si>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</si>
  <si>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</si>
  <si>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</si>
  <si>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</si>
  <si>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</si>
  <si>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</si>
  <si>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</si>
  <si>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</si>
  <si>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</si>
  <si>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</si>
  <si>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</si>
  <si>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</si>
  <si>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</si>
  <si>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</si>
  <si>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</si>
  <si>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</si>
  <si>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</si>
  <si>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</si>
  <si>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</si>
  <si>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</si>
  <si>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</si>
  <si>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</si>
  <si>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</si>
  <si>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</si>
  <si>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</si>
  <si>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</si>
  <si>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</si>
  <si>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</si>
  <si>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</si>
  <si>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</si>
  <si>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</si>
  <si>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</si>
  <si>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</si>
  <si>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</si>
  <si>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</si>
  <si>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</si>
  <si>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</si>
  <si>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</si>
  <si>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</si>
  <si>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</si>
  <si>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</si>
  <si>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</si>
  <si>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</si>
  <si>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</si>
  <si>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</si>
  <si>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</si>
  <si>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</si>
  <si>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</si>
  <si>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</si>
  <si>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</si>
  <si>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</si>
  <si>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</si>
  <si>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</si>
  <si>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</si>
  <si>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</si>
  <si>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</si>
  <si>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</si>
  <si>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</si>
  <si>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</si>
  <si>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</si>
  <si>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</si>
  <si>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</si>
  <si>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</si>
  <si>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</si>
  <si>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</si>
  <si>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</si>
  <si>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</si>
  <si>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</si>
  <si>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</si>
  <si>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</si>
  <si>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</si>
  <si>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</si>
  <si>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</si>
  <si>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</si>
  <si>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</si>
  <si>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</si>
  <si>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</si>
  <si>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</si>
  <si>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</si>
  <si>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</si>
  <si>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</si>
  <si>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</si>
  <si>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</si>
  <si>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</si>
  <si>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</si>
  <si>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</si>
  <si>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</si>
  <si>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</si>
  <si>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</si>
  <si>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</si>
  <si>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</si>
  <si>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</si>
  <si>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</si>
  <si>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</si>
  <si>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</si>
  <si>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</si>
  <si>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</si>
  <si>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</si>
  <si>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</si>
  <si>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</si>
  <si>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</si>
  <si>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</si>
  <si>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</si>
  <si>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</si>
  <si>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</si>
  <si>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</si>
  <si>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</si>
  <si>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</si>
  <si>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</si>
  <si>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</si>
  <si>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</si>
  <si>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</si>
  <si>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</si>
  <si>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</si>
  <si>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</si>
  <si>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</si>
  <si>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</si>
  <si>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</si>
  <si>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</si>
  <si>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</si>
  <si>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</si>
  <si>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</si>
  <si>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</si>
  <si>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</si>
  <si>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</si>
  <si>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</si>
  <si>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</si>
  <si>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</si>
  <si>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</si>
  <si>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</si>
  <si>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</si>
  <si>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</si>
  <si>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</si>
  <si>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 xml:space="preserve">Turn it into one continuous process. Checkboxes? 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</si>
  <si>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</si>
  <si>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</si>
  <si>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</si>
  <si>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</si>
  <si>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</si>
  <si>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</si>
  <si>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</si>
  <si>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</si>
  <si>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</si>
  <si>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</si>
  <si>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</si>
  <si>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</si>
  <si>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</si>
  <si>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4 | Errors: 8 | Tolerance: 0.01 | Detail Mode: SHEET2</t>
  </si>
  <si>
    <t>Config: Recon Config | Matches: 8 | Errors: 4 | Tolerance: 0.05 | Detail Mode: SHEET2</t>
  </si>
  <si>
    <t>Column1</t>
  </si>
  <si>
    <t>Fee Recon 2</t>
  </si>
  <si>
    <t>Fee 2</t>
  </si>
  <si>
    <t>Transform: Upload Transform | Source: Fee 2 Match Results | Target: Fee 2 Upload Ready | Duration: 0.1s</t>
  </si>
  <si>
    <t>Transform: Upload Transform | Source: Fee 2 Match Results | Target: Fee 2 Upload Ready | Duration: 0.0s</t>
  </si>
  <si>
    <t>Export</t>
  </si>
  <si>
    <t>Sheet: Fee Upload Ready | File: https://d.docs.live.net/91065edc839078b3/Documents/repos/VBA/windowsforms-recon/ExcelVBA/Fee Upload Ready_2026-02-17_1418.xls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</si>
  <si>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</si>
  <si>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</si>
  <si>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</si>
  <si>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</si>
  <si>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</si>
  <si>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</si>
  <si>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</si>
  <si>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</si>
  <si>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</si>
  <si>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</si>
  <si>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</si>
  <si>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</si>
  <si>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</si>
  <si>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</si>
  <si>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</si>
  <si>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</si>
  <si>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</si>
  <si>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</si>
  <si>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</si>
  <si>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</si>
  <si>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</si>
  <si>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</si>
  <si>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</si>
  <si>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</si>
  <si>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</si>
  <si>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</si>
  <si>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</si>
  <si>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</si>
  <si>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</si>
  <si>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</si>
  <si>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</si>
  <si>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</si>
  <si>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</si>
  <si>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</si>
  <si>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</si>
  <si>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</si>
  <si>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</si>
  <si>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</si>
  <si>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</si>
  <si>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</si>
  <si>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</si>
  <si>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</si>
  <si>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</si>
  <si>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</si>
  <si>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</si>
  <si>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</si>
  <si>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</si>
  <si>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</si>
  <si>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</si>
  <si>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</si>
  <si>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</si>
  <si>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</si>
  <si>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</si>
  <si>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</si>
  <si>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</si>
  <si>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</si>
  <si>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</si>
  <si>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</si>
  <si>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</si>
  <si>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</si>
  <si>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</si>
  <si>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</si>
  <si>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</si>
  <si>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</si>
  <si>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</si>
  <si>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</si>
  <si>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</si>
  <si>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</si>
  <si>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</si>
  <si>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</si>
  <si>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</si>
  <si>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</si>
  <si>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</si>
  <si>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</si>
  <si>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</si>
  <si>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</si>
  <si>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</si>
  <si>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</si>
  <si>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</si>
  <si>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</si>
  <si>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</si>
  <si>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</si>
  <si>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</si>
  <si>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</si>
  <si>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</si>
  <si>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</si>
  <si>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</si>
  <si>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</si>
  <si>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</si>
  <si>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</si>
  <si>
    <t>ValueIndex</t>
  </si>
  <si>
    <t>low</t>
  </si>
  <si>
    <t>high</t>
  </si>
  <si>
    <t>Defaults in config for UI</t>
  </si>
  <si>
    <t>Create workflow workbook external file. Saves All Results, Match Results, Error Results, Transformed sheet to new file based upon prefix naming</t>
  </si>
  <si>
    <t>med</t>
  </si>
  <si>
    <t>Set focus to recon sheet after a run</t>
  </si>
  <si>
    <t>If sheet is not found, just create it</t>
  </si>
  <si>
    <t>Validation: if there are dupes, it must be specified as a detail.</t>
  </si>
  <si>
    <t>Add Save Upload functionality</t>
  </si>
  <si>
    <t xml:space="preserve">Idea: hide all results tabs. Unhide with run. </t>
  </si>
  <si>
    <t>Task</t>
  </si>
  <si>
    <t>Add long path to file name? Maybe …\filename where … can be clicked?</t>
  </si>
  <si>
    <t>Error: Object variable or With block variable not set</t>
  </si>
  <si>
    <t>Transform: Upload Transform | Source: Fee 2 Match Results | Target: Fee 2 Upload Ready | Duration: 7.1s</t>
  </si>
  <si>
    <t>Remove Fee Recon. Doesn't work. Remove Defaults</t>
  </si>
  <si>
    <t>Transform: Upload Transform | Source: Fee 2 Match Results | Target: Fee 2 Upload Ready | Duration: 8.0s</t>
  </si>
  <si>
    <t>ABS(Amount)&gt;.05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</si>
</sst>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41">
    <dxf>
      <font>
        <b val="0"/>
      </font>
      <numFmt numFmtId="164" formatCode="yyyy\-mm\-dd\ hh:mm:ss"/>
    </dxf>
    <dxf>
      <font>
        <b val="0"/>
      </font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26670</xdr:rowOff>
        </xdr:from>
        <xdr:to>
          <xdr:col>4</xdr:col>
          <xdr:colOff>560070</xdr:colOff>
          <xdr:row>0</xdr:row>
          <xdr:rowOff>163830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26670</xdr:rowOff>
        </xdr:from>
        <xdr:to>
          <xdr:col>7</xdr:col>
          <xdr:colOff>502920</xdr:colOff>
          <xdr:row>0</xdr:row>
          <xdr:rowOff>163830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11430</xdr:rowOff>
        </xdr:from>
        <xdr:to>
          <xdr:col>9</xdr:col>
          <xdr:colOff>617220</xdr:colOff>
          <xdr:row>0</xdr:row>
          <xdr:rowOff>293370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C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45" totalsRowShown="0">
  <autoFilter ref="A1:C45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1" totalsRowShown="0">
  <autoFilter ref="A1:C11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3:E28" totalsRowShown="0">
  <autoFilter ref="A13:E28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90" totalsRowShown="0" headerRowDxfId="40" dataDxfId="39">
  <autoFilter ref="A1:G190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38"/>
    <tableColumn id="4" xr3:uid="{D5CE1952-DF24-4666-B97F-4075EE416DB3}" name="Details" dataDxfId="37"/>
    <tableColumn id="5" xr3:uid="{543A8991-CDDC-4C9E-B81B-17ECAEB28DFE}" name="Status" dataDxfId="36"/>
    <tableColumn id="6" xr3:uid="{CF2B62BD-8429-4C59-A817-109A9F6D4BBB}" name="Records" dataDxfId="35"/>
    <tableColumn id="7" xr3:uid="{3F5609B9-709E-4A2A-8885-1708EF552567}" name="User" dataDxfId="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9D061E-9567-404D-B7FA-8E7D11EFF494}" name="ReconResultsTable" displayName="ReconResultsTable" ref="A1:F13" totalsRowShown="0" headerRowDxfId="27">
  <autoFilter ref="A1:F13" xr:uid="{249D061E-9567-404D-B7FA-8E7D11EFF494}"/>
  <tableColumns count="6">
    <tableColumn id="1" xr3:uid="{DCA1CD7D-13CC-4119-B890-829ECDA223A3}" name="IsMatch"/>
    <tableColumn id="2" xr3:uid="{934DD3D0-9143-4A00-A51A-2B66DEABAEC0}" name="Difference" dataDxfId="30"/>
    <tableColumn id="3" xr3:uid="{CCCC0DF2-8741-4580-98FB-294DE0C40369}" name="ID"/>
    <tableColumn id="4" xr3:uid="{5813B77A-D7A9-49A5-9342-4FE6A002FDDC}" name="Sheet1 Total" dataDxfId="29"/>
    <tableColumn id="5" xr3:uid="{1711C72D-8DD1-482F-8545-6E61BB742CA0}" name="Sheet2 Total" dataDxfId="28"/>
    <tableColumn id="6" xr3:uid="{60C8BD7E-81D5-4917-818F-721C8BD13F93}" name="Account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D354A9-E97F-4ADD-9963-34C1EF930703}" name="MatchResultsTable" displayName="MatchResultsTable" ref="A1:F17" totalsRowShown="0" headerRowDxfId="26">
  <autoFilter ref="A1:F17" xr:uid="{52D354A9-E97F-4ADD-9963-34C1EF930703}"/>
  <tableColumns count="6">
    <tableColumn id="1" xr3:uid="{8D524BA3-6DB3-470B-A11F-71178CCBD776}" name="ID"/>
    <tableColumn id="2" xr3:uid="{1262EB32-DB8B-452B-8DCB-A5801BCD6743}" name="Type"/>
    <tableColumn id="3" xr3:uid="{ADB43A62-9A34-43DC-8528-402CC3121E38}" name="Amount"/>
    <tableColumn id="4" xr3:uid="{E86A0A74-1B16-40DD-8099-A84F22370F0F}" name="Sheet1 Total" dataDxfId="25"/>
    <tableColumn id="5" xr3:uid="{0ED2ABB2-7F32-43D3-9858-D21FF32F1A19}" name="Sheet2 Total" dataDxfId="24"/>
    <tableColumn id="6" xr3:uid="{5487EE13-540B-4C72-A762-7D667E0E5BD5}" name="AccountName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E4A6FDB-28C9-4FDD-BE2D-4215DA5E49A2}" name="ErrorResultsTable" displayName="ErrorResultsTable" ref="A1:E5" totalsRowShown="0" headerRowDxfId="22" dataDxfId="23">
  <autoFilter ref="A1:E5" xr:uid="{4E4A6FDB-28C9-4FDD-BE2D-4215DA5E49A2}"/>
  <tableColumns count="5">
    <tableColumn id="1" xr3:uid="{541C1A0D-223A-4CB9-88C3-9F843CCF1FE1}" name="Difference" dataDxfId="21"/>
    <tableColumn id="2" xr3:uid="{3BF4C2A6-22BA-47F4-BFE6-0520F43A0E65}" name="ID" dataDxfId="20"/>
    <tableColumn id="3" xr3:uid="{299DD0C7-98F3-42C9-9CB9-F19CCDA32000}" name="Sheet1 Total" dataDxfId="19"/>
    <tableColumn id="4" xr3:uid="{B7849D2D-6EF4-472A-BAC9-5FC6D33D8598}" name="Sheet2 Total" dataDxfId="17"/>
    <tableColumn id="5" xr3:uid="{F401E1C2-7C4A-4D33-9943-E65438575C4C}" name="AccountName" dataDxfId="18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5DB8C8-1720-4D9E-8C9F-341151D288E8}" name="Table4" displayName="Table4" ref="A1:H17" totalsRowShown="0">
  <autoFilter ref="A1:H17" xr:uid="{5E5DB8C8-1720-4D9E-8C9F-341151D288E8}"/>
  <tableColumns count="8">
    <tableColumn id="1" xr3:uid="{0AD9C074-42E5-4AF4-801E-61D13BCCDBA0}" name="Account ID"/>
    <tableColumn id="2" xr3:uid="{A9286E07-1BE6-4B2F-8F47-A47519940D8B}" name="Account Name"/>
    <tableColumn id="3" xr3:uid="{119F8C7A-8492-4651-BFC1-5D87B559B0D0}" name="Transaction Type"/>
    <tableColumn id="4" xr3:uid="{963374BE-8C55-4EF6-BD50-08A7E9BEBAA2}" name="Amount"/>
    <tableColumn id="5" xr3:uid="{AA79D843-B331-4E8B-92A9-65C0EE2651F3}" name="Currency"/>
    <tableColumn id="6" xr3:uid="{83CF6E0B-7239-4277-BEF3-99FFE9BED83F}" name="Processing Date" dataDxfId="33"/>
    <tableColumn id="7" xr3:uid="{4C787157-09A8-4FC0-B4BE-1816401B0F24}" name="Net Amount" dataDxfId="32">
      <calculatedColumnFormula>Table4[[#This Row],[Amount]]*0.98</calculatedColumnFormula>
    </tableColumn>
    <tableColumn id="8" xr3:uid="{0533BB66-B482-4CF8-81F5-0F2E2BDB4CEB}" name="Upload Batch" dataDxfId="31">
      <calculatedColumnFormula>20260216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F846937-2EAC-4A88-AD23-2E53A2CF9338}" name="ReconResultsTable" displayName="ReconResultsTable_" ref="A1:F13" totalsRowShown="0" headerRowDxfId="13">
  <autoFilter ref="A1:F13" xr:uid="{CF846937-2EAC-4A88-AD23-2E53A2CF9338}"/>
  <tableColumns count="6">
    <tableColumn id="1" xr3:uid="{A74BD39C-8B1B-4AE8-AF72-A3DAB53F64B7}" name="IsMatch"/>
    <tableColumn id="2" xr3:uid="{A2A59D7F-05CF-4F08-9D18-D7EC3B1BB025}" name="Difference" dataDxfId="16"/>
    <tableColumn id="3" xr3:uid="{79A7659B-C3FF-4A2E-98C5-90B8E6A958B0}" name="ID"/>
    <tableColumn id="4" xr3:uid="{E4C54E9A-6928-4F54-8D21-2C730765F3E0}" name="Sheet1 Total" dataDxfId="15"/>
    <tableColumn id="5" xr3:uid="{A67BA55F-FFA7-4FC9-9382-362A3BCE0523}" name="Sheet2 Total" dataDxfId="14"/>
    <tableColumn id="6" xr3:uid="{C251EA97-C902-42BD-844C-D80A16A78E32}" name="AccountNam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29C1C75-D6A6-4B74-83E0-6DD36372E719}" name="MatchResultsTable" displayName="MatchResultsTable_1" ref="A1:F17" totalsRowShown="0" headerRowDxfId="12">
  <autoFilter ref="A1:F17" xr:uid="{629C1C75-D6A6-4B74-83E0-6DD36372E719}"/>
  <tableColumns count="6">
    <tableColumn id="1" xr3:uid="{EF8710B4-9E96-4292-86C8-4B6072FCAEDB}" name="ID"/>
    <tableColumn id="2" xr3:uid="{A7DF2C47-89DB-4B81-8845-A4CFDB3D6F2D}" name="Type"/>
    <tableColumn id="3" xr3:uid="{3A7F50E6-9D41-4186-A2DE-BD669CB97A13}" name="Amount"/>
    <tableColumn id="4" xr3:uid="{F2EE90EE-596B-4ECF-A60E-D77119171A19}" name="Sheet1 Total" dataDxfId="11"/>
    <tableColumn id="5" xr3:uid="{20D357CB-AD0C-4994-BBAF-21D5932941F4}" name="Sheet2 Total" dataDxfId="10"/>
    <tableColumn id="6" xr3:uid="{7BA5BC3E-146F-42D3-9EF3-896A1E501A51}" name="AccountName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643A862-B7B4-421E-8138-298468EEDD42}" name="ErrorResultsTable" displayName="ErrorResultsTable_1" ref="A1:E5" totalsRowShown="0" headerRowDxfId="8" dataDxfId="9">
  <autoFilter ref="A1:E5" xr:uid="{0643A862-B7B4-421E-8138-298468EEDD42}"/>
  <tableColumns count="5">
    <tableColumn id="1" xr3:uid="{B289F203-DCBD-47BB-B94B-1C5CE3DA972C}" name="Difference" dataDxfId="7"/>
    <tableColumn id="2" xr3:uid="{F19A650C-20DE-47AC-89AD-705B0ABF025B}" name="ID" dataDxfId="6"/>
    <tableColumn id="3" xr3:uid="{001B6A49-BF8B-4743-ACD6-5E0C40788E2E}" name="Sheet1 Total" dataDxfId="5"/>
    <tableColumn id="4" xr3:uid="{E95C4D76-31C8-402C-80A4-D0316FA64C38}" name="Sheet2 Total" dataDxfId="3"/>
    <tableColumn id="5" xr3:uid="{C7EC80EB-A441-4C82-A5B8-B00E042135EE}" name="AccountName" dataDxfId="4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D3A1FA3-162B-408B-BF58-15B98536696A}" name="Table28" displayName="Table28" ref="A1:G9" totalsRowShown="0">
  <autoFilter ref="A1:G9" xr:uid="{FD3A1FA3-162B-408B-BF58-15B98536696A}"/>
  <tableColumns count="7">
    <tableColumn id="1" xr3:uid="{74FDD018-64C0-471A-B038-DED0A28C5548}" name="Account ID"/>
    <tableColumn id="2" xr3:uid="{1D4865AB-F4F5-44D0-8C6A-D2F42477A6C6}" name="Account Name"/>
    <tableColumn id="3" xr3:uid="{0D9EEE34-AB81-41F9-8E42-1DC0D605BAF9}" name="Transaction Type"/>
    <tableColumn id="4" xr3:uid="{DBD127DF-EE7A-4503-96FD-1A3EB7C2378E}" name="Amount"/>
    <tableColumn id="5" xr3:uid="{9CF0DBF3-71B5-4A13-BF47-F21008D12795}" name="Currency"/>
    <tableColumn id="6" xr3:uid="{DC7CBDF9-9455-444B-AAB9-B608B35868C1}" name="Processing Date" dataDxfId="2"/>
    <tableColumn id="7" xr3:uid="{4A3FDDBE-5301-4BEF-8D83-FB91C28E83E0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276</v>
      </c>
      <c r="B1" t="s">
        <v>275</v>
      </c>
      <c r="C1" t="s">
        <v>274</v>
      </c>
      <c r="D1" t="s">
        <v>273</v>
      </c>
      <c r="E1" t="s">
        <v>272</v>
      </c>
      <c r="F1" t="s">
        <v>195</v>
      </c>
      <c r="G1" t="s">
        <v>271</v>
      </c>
    </row>
    <row r="2" spans="1:7" x14ac:dyDescent="0.55000000000000004">
      <c r="A2" t="s">
        <v>266</v>
      </c>
      <c r="B2" t="s">
        <v>270</v>
      </c>
      <c r="C2" t="s">
        <v>222</v>
      </c>
      <c r="D2" t="s">
        <v>232</v>
      </c>
      <c r="E2" t="s">
        <v>247</v>
      </c>
      <c r="F2" t="s">
        <v>269</v>
      </c>
      <c r="G2" t="s">
        <v>260</v>
      </c>
    </row>
    <row r="3" spans="1:7" x14ac:dyDescent="0.55000000000000004">
      <c r="A3" t="s">
        <v>266</v>
      </c>
      <c r="B3" t="s">
        <v>268</v>
      </c>
      <c r="C3" t="s">
        <v>222</v>
      </c>
      <c r="D3" t="s">
        <v>232</v>
      </c>
      <c r="E3" t="s">
        <v>247</v>
      </c>
      <c r="F3" t="s">
        <v>267</v>
      </c>
      <c r="G3" t="s">
        <v>260</v>
      </c>
    </row>
    <row r="4" spans="1:7" x14ac:dyDescent="0.55000000000000004">
      <c r="A4" t="s">
        <v>266</v>
      </c>
      <c r="B4" t="s">
        <v>26</v>
      </c>
      <c r="C4" t="s">
        <v>254</v>
      </c>
      <c r="D4" t="s">
        <v>232</v>
      </c>
      <c r="E4" t="s">
        <v>253</v>
      </c>
      <c r="F4" t="s">
        <v>265</v>
      </c>
      <c r="G4" t="s">
        <v>251</v>
      </c>
    </row>
    <row r="5" spans="1:7" x14ac:dyDescent="0.55000000000000004">
      <c r="A5" t="s">
        <v>255</v>
      </c>
      <c r="B5" t="s">
        <v>240</v>
      </c>
      <c r="C5" t="s">
        <v>222</v>
      </c>
      <c r="D5" t="s">
        <v>232</v>
      </c>
      <c r="E5" t="s">
        <v>239</v>
      </c>
      <c r="F5" t="s">
        <v>264</v>
      </c>
      <c r="G5" t="s">
        <v>260</v>
      </c>
    </row>
    <row r="6" spans="1:7" x14ac:dyDescent="0.55000000000000004">
      <c r="A6" t="s">
        <v>255</v>
      </c>
      <c r="B6" t="s">
        <v>263</v>
      </c>
      <c r="C6" t="s">
        <v>222</v>
      </c>
      <c r="D6" t="s">
        <v>232</v>
      </c>
      <c r="E6" t="s">
        <v>262</v>
      </c>
      <c r="F6" t="s">
        <v>261</v>
      </c>
      <c r="G6" t="s">
        <v>260</v>
      </c>
    </row>
    <row r="7" spans="1:7" x14ac:dyDescent="0.55000000000000004">
      <c r="A7" t="s">
        <v>255</v>
      </c>
      <c r="B7" t="s">
        <v>9</v>
      </c>
      <c r="C7" t="s">
        <v>222</v>
      </c>
      <c r="D7" t="s">
        <v>221</v>
      </c>
      <c r="E7" t="s">
        <v>220</v>
      </c>
      <c r="F7" t="s">
        <v>259</v>
      </c>
      <c r="G7" t="s">
        <v>218</v>
      </c>
    </row>
    <row r="8" spans="1:7" x14ac:dyDescent="0.55000000000000004">
      <c r="A8" t="s">
        <v>255</v>
      </c>
      <c r="B8" t="s">
        <v>102</v>
      </c>
      <c r="C8" t="s">
        <v>254</v>
      </c>
      <c r="D8" t="s">
        <v>232</v>
      </c>
      <c r="E8" t="s">
        <v>258</v>
      </c>
      <c r="F8" t="s">
        <v>257</v>
      </c>
      <c r="G8" t="s">
        <v>256</v>
      </c>
    </row>
    <row r="9" spans="1:7" x14ac:dyDescent="0.55000000000000004">
      <c r="A9" t="s">
        <v>255</v>
      </c>
      <c r="B9" t="s">
        <v>26</v>
      </c>
      <c r="C9" t="s">
        <v>254</v>
      </c>
      <c r="D9" t="s">
        <v>232</v>
      </c>
      <c r="E9" t="s">
        <v>253</v>
      </c>
      <c r="F9" t="s">
        <v>252</v>
      </c>
      <c r="G9" t="s">
        <v>251</v>
      </c>
    </row>
    <row r="10" spans="1:7" x14ac:dyDescent="0.55000000000000004">
      <c r="A10" t="s">
        <v>245</v>
      </c>
      <c r="B10" t="s">
        <v>250</v>
      </c>
      <c r="C10" t="s">
        <v>222</v>
      </c>
      <c r="D10" t="s">
        <v>232</v>
      </c>
      <c r="E10" t="s">
        <v>247</v>
      </c>
      <c r="F10" t="s">
        <v>249</v>
      </c>
      <c r="G10" t="s">
        <v>237</v>
      </c>
    </row>
    <row r="11" spans="1:7" x14ac:dyDescent="0.55000000000000004">
      <c r="A11" t="s">
        <v>245</v>
      </c>
      <c r="B11" t="s">
        <v>248</v>
      </c>
      <c r="C11" t="s">
        <v>222</v>
      </c>
      <c r="D11" t="s">
        <v>232</v>
      </c>
      <c r="E11" t="s">
        <v>247</v>
      </c>
      <c r="F11" t="s">
        <v>246</v>
      </c>
      <c r="G11" t="s">
        <v>237</v>
      </c>
    </row>
    <row r="12" spans="1:7" x14ac:dyDescent="0.55000000000000004">
      <c r="A12" t="s">
        <v>245</v>
      </c>
      <c r="B12" t="s">
        <v>244</v>
      </c>
      <c r="C12" t="s">
        <v>222</v>
      </c>
      <c r="D12" t="s">
        <v>232</v>
      </c>
      <c r="E12" t="s">
        <v>243</v>
      </c>
      <c r="F12" t="s">
        <v>242</v>
      </c>
      <c r="G12" t="s">
        <v>241</v>
      </c>
    </row>
    <row r="13" spans="1:7" x14ac:dyDescent="0.55000000000000004">
      <c r="A13" t="s">
        <v>223</v>
      </c>
      <c r="B13" t="s">
        <v>240</v>
      </c>
      <c r="C13" t="s">
        <v>222</v>
      </c>
      <c r="D13" t="s">
        <v>232</v>
      </c>
      <c r="E13" t="s">
        <v>239</v>
      </c>
      <c r="F13" t="s">
        <v>238</v>
      </c>
      <c r="G13" t="s">
        <v>237</v>
      </c>
    </row>
    <row r="14" spans="1:7" x14ac:dyDescent="0.55000000000000004">
      <c r="A14" t="s">
        <v>223</v>
      </c>
      <c r="B14" t="s">
        <v>236</v>
      </c>
      <c r="C14" t="s">
        <v>233</v>
      </c>
      <c r="D14" t="s">
        <v>232</v>
      </c>
      <c r="E14" t="s">
        <v>231</v>
      </c>
      <c r="F14" t="s">
        <v>235</v>
      </c>
      <c r="G14" t="s">
        <v>229</v>
      </c>
    </row>
    <row r="15" spans="1:7" x14ac:dyDescent="0.55000000000000004">
      <c r="A15" t="s">
        <v>223</v>
      </c>
      <c r="B15" t="s">
        <v>234</v>
      </c>
      <c r="C15" t="s">
        <v>233</v>
      </c>
      <c r="D15" t="s">
        <v>232</v>
      </c>
      <c r="E15" t="s">
        <v>231</v>
      </c>
      <c r="F15" t="s">
        <v>230</v>
      </c>
      <c r="G15" t="s">
        <v>229</v>
      </c>
    </row>
    <row r="16" spans="1:7" x14ac:dyDescent="0.55000000000000004">
      <c r="A16" t="s">
        <v>223</v>
      </c>
      <c r="B16" t="s">
        <v>228</v>
      </c>
      <c r="C16" t="s">
        <v>222</v>
      </c>
      <c r="D16" t="s">
        <v>227</v>
      </c>
      <c r="E16" t="s">
        <v>226</v>
      </c>
      <c r="F16" t="s">
        <v>225</v>
      </c>
      <c r="G16" t="s">
        <v>224</v>
      </c>
    </row>
    <row r="17" spans="1:7" x14ac:dyDescent="0.55000000000000004">
      <c r="A17" t="s">
        <v>223</v>
      </c>
      <c r="B17" t="s">
        <v>9</v>
      </c>
      <c r="C17" t="s">
        <v>222</v>
      </c>
      <c r="D17" t="s">
        <v>221</v>
      </c>
      <c r="E17" t="s">
        <v>220</v>
      </c>
      <c r="F17" t="s">
        <v>219</v>
      </c>
      <c r="G17" t="s">
        <v>218</v>
      </c>
    </row>
    <row r="20" spans="1:7" x14ac:dyDescent="0.55000000000000004">
      <c r="A20" t="s">
        <v>217</v>
      </c>
      <c r="B20" t="s">
        <v>99</v>
      </c>
      <c r="C20" t="s">
        <v>195</v>
      </c>
    </row>
    <row r="21" spans="1:7" x14ac:dyDescent="0.55000000000000004">
      <c r="A21" t="s">
        <v>216</v>
      </c>
      <c r="B21" t="s">
        <v>215</v>
      </c>
      <c r="C21" t="s">
        <v>214</v>
      </c>
    </row>
    <row r="22" spans="1:7" x14ac:dyDescent="0.55000000000000004">
      <c r="A22" t="s">
        <v>213</v>
      </c>
      <c r="B22" t="s">
        <v>212</v>
      </c>
      <c r="C22" t="s">
        <v>211</v>
      </c>
    </row>
    <row r="23" spans="1:7" x14ac:dyDescent="0.55000000000000004">
      <c r="A23" t="s">
        <v>210</v>
      </c>
      <c r="B23" t="s">
        <v>209</v>
      </c>
      <c r="C23" t="s">
        <v>202</v>
      </c>
    </row>
    <row r="24" spans="1:7" x14ac:dyDescent="0.55000000000000004">
      <c r="A24" t="s">
        <v>208</v>
      </c>
      <c r="B24" t="s">
        <v>207</v>
      </c>
      <c r="C24" t="s">
        <v>202</v>
      </c>
    </row>
    <row r="25" spans="1:7" x14ac:dyDescent="0.55000000000000004">
      <c r="A25" t="s">
        <v>206</v>
      </c>
      <c r="B25" t="s">
        <v>205</v>
      </c>
      <c r="C25" t="s">
        <v>202</v>
      </c>
    </row>
    <row r="26" spans="1:7" x14ac:dyDescent="0.55000000000000004">
      <c r="A26" t="s">
        <v>204</v>
      </c>
      <c r="B26" t="s">
        <v>203</v>
      </c>
      <c r="C26" t="s">
        <v>202</v>
      </c>
    </row>
    <row r="28" spans="1:7" x14ac:dyDescent="0.55000000000000004">
      <c r="A28" t="s">
        <v>201</v>
      </c>
      <c r="B28" t="s">
        <v>99</v>
      </c>
      <c r="C28" t="s">
        <v>195</v>
      </c>
      <c r="D28" t="s">
        <v>196</v>
      </c>
    </row>
    <row r="29" spans="1:7" x14ac:dyDescent="0.55000000000000004">
      <c r="A29" t="s">
        <v>200</v>
      </c>
      <c r="B29" t="s">
        <v>199</v>
      </c>
      <c r="C29" t="s">
        <v>198</v>
      </c>
      <c r="D29" t="s">
        <v>190</v>
      </c>
    </row>
    <row r="31" spans="1:7" x14ac:dyDescent="0.55000000000000004">
      <c r="A31" t="s">
        <v>197</v>
      </c>
    </row>
    <row r="32" spans="1:7" x14ac:dyDescent="0.55000000000000004">
      <c r="A32" t="s">
        <v>196</v>
      </c>
      <c r="B32" t="s">
        <v>195</v>
      </c>
    </row>
    <row r="33" spans="1:2" x14ac:dyDescent="0.55000000000000004">
      <c r="A33" t="s">
        <v>194</v>
      </c>
      <c r="B33" t="s">
        <v>193</v>
      </c>
    </row>
    <row r="34" spans="1:2" x14ac:dyDescent="0.55000000000000004">
      <c r="A34" t="s">
        <v>192</v>
      </c>
      <c r="B34" t="s">
        <v>191</v>
      </c>
    </row>
    <row r="35" spans="1:2" x14ac:dyDescent="0.55000000000000004">
      <c r="A35" t="s">
        <v>190</v>
      </c>
      <c r="B35" t="s">
        <v>189</v>
      </c>
    </row>
    <row r="36" spans="1:2" x14ac:dyDescent="0.55000000000000004">
      <c r="A36" t="s">
        <v>188</v>
      </c>
      <c r="B36" t="s">
        <v>187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C15"/>
  <sheetViews>
    <sheetView workbookViewId="0">
      <selection activeCell="C15" sqref="C15"/>
    </sheetView>
  </sheetViews>
  <sheetFormatPr defaultRowHeight="14.4" x14ac:dyDescent="0.55000000000000004"/>
  <cols>
    <col min="1" max="1" width="9.3125" bestFit="1" customWidth="1"/>
    <col min="3" max="3" width="112.5234375" bestFit="1" customWidth="1"/>
  </cols>
  <sheetData>
    <row r="1" spans="1:3" x14ac:dyDescent="0.55000000000000004">
      <c r="A1" t="s">
        <v>277</v>
      </c>
      <c r="B1" t="s">
        <v>1</v>
      </c>
    </row>
    <row r="2" spans="1:3" x14ac:dyDescent="0.55000000000000004">
      <c r="C2" t="s">
        <v>163</v>
      </c>
    </row>
    <row r="3" spans="1:3" x14ac:dyDescent="0.55000000000000004">
      <c r="A3" t="s">
        <v>277</v>
      </c>
      <c r="B3" t="s">
        <v>1</v>
      </c>
      <c r="C3" t="s">
        <v>288</v>
      </c>
    </row>
    <row r="4" spans="1:3" x14ac:dyDescent="0.55000000000000004">
      <c r="A4">
        <v>3</v>
      </c>
      <c r="B4" t="s">
        <v>279</v>
      </c>
      <c r="C4" t="s">
        <v>286</v>
      </c>
    </row>
    <row r="5" spans="1:3" x14ac:dyDescent="0.55000000000000004">
      <c r="A5">
        <v>3</v>
      </c>
      <c r="B5" t="s">
        <v>279</v>
      </c>
      <c r="C5" t="s">
        <v>283</v>
      </c>
    </row>
    <row r="6" spans="1:3" x14ac:dyDescent="0.55000000000000004">
      <c r="A6">
        <v>3</v>
      </c>
      <c r="B6" t="s">
        <v>279</v>
      </c>
      <c r="C6" t="s">
        <v>287</v>
      </c>
    </row>
    <row r="7" spans="1:3" x14ac:dyDescent="0.55000000000000004">
      <c r="A7">
        <v>2</v>
      </c>
      <c r="B7" t="s">
        <v>282</v>
      </c>
      <c r="C7" t="s">
        <v>280</v>
      </c>
    </row>
    <row r="8" spans="1:3" x14ac:dyDescent="0.55000000000000004">
      <c r="A8">
        <v>2</v>
      </c>
      <c r="B8" t="s">
        <v>282</v>
      </c>
      <c r="C8" t="s">
        <v>165</v>
      </c>
    </row>
    <row r="9" spans="1:3" x14ac:dyDescent="0.55000000000000004">
      <c r="A9">
        <v>2</v>
      </c>
      <c r="B9" t="s">
        <v>282</v>
      </c>
      <c r="C9" t="s">
        <v>284</v>
      </c>
    </row>
    <row r="10" spans="1:3" x14ac:dyDescent="0.55000000000000004">
      <c r="A10">
        <v>1</v>
      </c>
      <c r="B10" t="s">
        <v>278</v>
      </c>
      <c r="C10" t="s">
        <v>18</v>
      </c>
    </row>
    <row r="11" spans="1:3" x14ac:dyDescent="0.55000000000000004">
      <c r="A11">
        <v>1</v>
      </c>
      <c r="B11" t="s">
        <v>278</v>
      </c>
      <c r="C11" t="s">
        <v>164</v>
      </c>
    </row>
    <row r="12" spans="1:3" x14ac:dyDescent="0.55000000000000004">
      <c r="A12">
        <v>1</v>
      </c>
      <c r="B12" t="s">
        <v>278</v>
      </c>
      <c r="C12" t="s">
        <v>281</v>
      </c>
    </row>
    <row r="13" spans="1:3" x14ac:dyDescent="0.55000000000000004">
      <c r="A13">
        <v>1</v>
      </c>
      <c r="B13" t="s">
        <v>278</v>
      </c>
      <c r="C13" t="s">
        <v>285</v>
      </c>
    </row>
    <row r="14" spans="1:3" x14ac:dyDescent="0.55000000000000004">
      <c r="A14">
        <v>2</v>
      </c>
      <c r="B14" t="s">
        <v>282</v>
      </c>
      <c r="C14" t="s">
        <v>289</v>
      </c>
    </row>
    <row r="15" spans="1:3" x14ac:dyDescent="0.55000000000000004">
      <c r="A15">
        <v>2</v>
      </c>
      <c r="B15" t="s">
        <v>282</v>
      </c>
      <c r="C15" t="s">
        <v>292</v>
      </c>
    </row>
  </sheetData>
  <sortState xmlns:xlrd2="http://schemas.microsoft.com/office/spreadsheetml/2017/richdata2" ref="A4:C13">
    <sortCondition descending="1" ref="A4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5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  <row r="5" spans="1:2" x14ac:dyDescent="0.55000000000000004">
      <c r="A5" t="s">
        <v>181</v>
      </c>
      <c r="B5" t="s">
        <v>182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45"/>
  <sheetViews>
    <sheetView workbookViewId="0">
      <pane ySplit="1" topLeftCell="A2" activePane="bottomLeft" state="frozen"/>
      <selection pane="bottomLeft" activeCell="E4" sqref="E4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0.05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  <row r="35" spans="1:3" x14ac:dyDescent="0.55000000000000004">
      <c r="A35" t="s">
        <v>181</v>
      </c>
      <c r="B35" t="s">
        <v>20</v>
      </c>
      <c r="C35" t="s">
        <v>81</v>
      </c>
    </row>
    <row r="36" spans="1:3" x14ac:dyDescent="0.55000000000000004">
      <c r="A36" t="s">
        <v>181</v>
      </c>
      <c r="B36" t="s">
        <v>21</v>
      </c>
      <c r="C36" t="s">
        <v>81</v>
      </c>
    </row>
    <row r="37" spans="1:3" x14ac:dyDescent="0.55000000000000004">
      <c r="A37" t="s">
        <v>181</v>
      </c>
      <c r="B37" t="s">
        <v>22</v>
      </c>
      <c r="C37" t="s">
        <v>13</v>
      </c>
    </row>
    <row r="38" spans="1:3" x14ac:dyDescent="0.55000000000000004">
      <c r="A38" t="s">
        <v>181</v>
      </c>
      <c r="B38" t="s">
        <v>23</v>
      </c>
      <c r="C38" t="s">
        <v>13</v>
      </c>
    </row>
    <row r="39" spans="1:3" x14ac:dyDescent="0.55000000000000004">
      <c r="A39" t="s">
        <v>181</v>
      </c>
      <c r="B39" t="s">
        <v>62</v>
      </c>
      <c r="C39" t="s">
        <v>107</v>
      </c>
    </row>
    <row r="40" spans="1:3" x14ac:dyDescent="0.55000000000000004">
      <c r="A40" t="s">
        <v>181</v>
      </c>
      <c r="B40" t="s">
        <v>63</v>
      </c>
      <c r="C40" t="s">
        <v>158</v>
      </c>
    </row>
    <row r="41" spans="1:3" x14ac:dyDescent="0.55000000000000004">
      <c r="A41" t="s">
        <v>181</v>
      </c>
      <c r="B41" t="s">
        <v>46</v>
      </c>
      <c r="C41" t="s">
        <v>82</v>
      </c>
    </row>
    <row r="42" spans="1:3" x14ac:dyDescent="0.55000000000000004">
      <c r="A42" t="s">
        <v>181</v>
      </c>
      <c r="B42" t="s">
        <v>47</v>
      </c>
      <c r="C42" t="s">
        <v>82</v>
      </c>
    </row>
    <row r="43" spans="1:3" x14ac:dyDescent="0.55000000000000004">
      <c r="A43" t="s">
        <v>181</v>
      </c>
      <c r="B43" t="s">
        <v>15</v>
      </c>
      <c r="C43">
        <v>0.05</v>
      </c>
    </row>
    <row r="44" spans="1:3" x14ac:dyDescent="0.55000000000000004">
      <c r="A44" t="s">
        <v>181</v>
      </c>
      <c r="B44" t="s">
        <v>53</v>
      </c>
      <c r="C44" t="s">
        <v>54</v>
      </c>
    </row>
    <row r="45" spans="1:3" x14ac:dyDescent="0.55000000000000004">
      <c r="A45" t="s">
        <v>181</v>
      </c>
      <c r="B45" t="s">
        <v>16</v>
      </c>
      <c r="C45" t="s">
        <v>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26670</xdr:rowOff>
                  </from>
                  <to>
                    <xdr:col>4</xdr:col>
                    <xdr:colOff>560070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28"/>
  <sheetViews>
    <sheetView workbookViewId="0">
      <selection activeCell="C11" sqref="C11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37.3125" bestFit="1" customWidth="1"/>
    <col min="4" max="4" width="14" bestFit="1" customWidth="1"/>
  </cols>
  <sheetData>
    <row r="1" spans="1:5" x14ac:dyDescent="0.55000000000000004">
      <c r="A1" t="s">
        <v>26</v>
      </c>
      <c r="B1" t="s">
        <v>2</v>
      </c>
      <c r="C1" t="s">
        <v>1</v>
      </c>
    </row>
    <row r="2" spans="1:5" x14ac:dyDescent="0.55000000000000004">
      <c r="B2" t="s">
        <v>99</v>
      </c>
      <c r="C2" t="s">
        <v>100</v>
      </c>
    </row>
    <row r="3" spans="1:5" x14ac:dyDescent="0.55000000000000004">
      <c r="B3" t="s">
        <v>7</v>
      </c>
      <c r="C3" t="s">
        <v>14</v>
      </c>
    </row>
    <row r="4" spans="1:5" x14ac:dyDescent="0.55000000000000004">
      <c r="B4" t="s">
        <v>8</v>
      </c>
      <c r="C4" t="s">
        <v>101</v>
      </c>
    </row>
    <row r="5" spans="1:5" x14ac:dyDescent="0.55000000000000004">
      <c r="B5" t="s">
        <v>102</v>
      </c>
    </row>
    <row r="6" spans="1:5" x14ac:dyDescent="0.55000000000000004">
      <c r="B6" t="s">
        <v>16</v>
      </c>
      <c r="C6" t="s">
        <v>103</v>
      </c>
    </row>
    <row r="7" spans="1:5" x14ac:dyDescent="0.55000000000000004">
      <c r="A7" t="s">
        <v>181</v>
      </c>
      <c r="B7" t="s">
        <v>99</v>
      </c>
      <c r="C7" t="s">
        <v>100</v>
      </c>
    </row>
    <row r="8" spans="1:5" x14ac:dyDescent="0.55000000000000004">
      <c r="A8" t="s">
        <v>181</v>
      </c>
      <c r="B8" t="s">
        <v>7</v>
      </c>
      <c r="C8" t="s">
        <v>14</v>
      </c>
    </row>
    <row r="9" spans="1:5" x14ac:dyDescent="0.55000000000000004">
      <c r="A9" t="s">
        <v>181</v>
      </c>
      <c r="B9" t="s">
        <v>8</v>
      </c>
      <c r="C9" t="s">
        <v>101</v>
      </c>
    </row>
    <row r="10" spans="1:5" x14ac:dyDescent="0.55000000000000004">
      <c r="A10" t="s">
        <v>181</v>
      </c>
      <c r="B10" t="s">
        <v>102</v>
      </c>
      <c r="C10" t="s">
        <v>294</v>
      </c>
    </row>
    <row r="11" spans="1:5" x14ac:dyDescent="0.55000000000000004">
      <c r="A11" t="s">
        <v>181</v>
      </c>
      <c r="B11" t="s">
        <v>16</v>
      </c>
      <c r="C11" t="s">
        <v>103</v>
      </c>
    </row>
    <row r="13" spans="1:5" x14ac:dyDescent="0.55000000000000004">
      <c r="A13" t="s">
        <v>26</v>
      </c>
      <c r="B13" t="s">
        <v>9</v>
      </c>
      <c r="C13" t="s">
        <v>10</v>
      </c>
      <c r="D13" t="s">
        <v>11</v>
      </c>
      <c r="E13" t="s">
        <v>12</v>
      </c>
    </row>
    <row r="14" spans="1:5" x14ac:dyDescent="0.55000000000000004">
      <c r="A14" t="s">
        <v>78</v>
      </c>
      <c r="B14">
        <v>1</v>
      </c>
      <c r="C14" t="s">
        <v>104</v>
      </c>
      <c r="D14" t="s">
        <v>105</v>
      </c>
      <c r="E14" t="s">
        <v>0</v>
      </c>
    </row>
    <row r="15" spans="1:5" x14ac:dyDescent="0.55000000000000004">
      <c r="A15" t="s">
        <v>78</v>
      </c>
      <c r="B15">
        <v>2</v>
      </c>
      <c r="C15" t="s">
        <v>106</v>
      </c>
      <c r="D15" t="s">
        <v>105</v>
      </c>
      <c r="E15" t="s">
        <v>107</v>
      </c>
    </row>
    <row r="16" spans="1:5" x14ac:dyDescent="0.55000000000000004">
      <c r="A16" t="s">
        <v>78</v>
      </c>
      <c r="B16">
        <v>3</v>
      </c>
      <c r="C16" t="s">
        <v>108</v>
      </c>
      <c r="D16" t="s">
        <v>105</v>
      </c>
      <c r="E16" t="s">
        <v>11</v>
      </c>
    </row>
    <row r="17" spans="1:5" x14ac:dyDescent="0.55000000000000004">
      <c r="A17" t="s">
        <v>78</v>
      </c>
      <c r="B17">
        <v>4</v>
      </c>
      <c r="C17" t="s">
        <v>13</v>
      </c>
      <c r="D17" t="s">
        <v>105</v>
      </c>
      <c r="E17" t="s">
        <v>13</v>
      </c>
    </row>
    <row r="18" spans="1:5" x14ac:dyDescent="0.55000000000000004">
      <c r="A18" t="s">
        <v>78</v>
      </c>
      <c r="B18">
        <v>5</v>
      </c>
      <c r="C18" t="s">
        <v>109</v>
      </c>
      <c r="D18" t="s">
        <v>110</v>
      </c>
      <c r="E18" t="s">
        <v>111</v>
      </c>
    </row>
    <row r="19" spans="1:5" x14ac:dyDescent="0.55000000000000004">
      <c r="A19" t="s">
        <v>78</v>
      </c>
      <c r="B19">
        <v>6</v>
      </c>
      <c r="C19" t="s">
        <v>112</v>
      </c>
      <c r="D19" t="s">
        <v>110</v>
      </c>
      <c r="E19" s="5">
        <f ca="1">TODAY()</f>
        <v>46085</v>
      </c>
    </row>
    <row r="20" spans="1:5" x14ac:dyDescent="0.55000000000000004">
      <c r="A20" t="s">
        <v>78</v>
      </c>
      <c r="B20">
        <v>7</v>
      </c>
      <c r="C20" t="s">
        <v>113</v>
      </c>
      <c r="D20" t="s">
        <v>114</v>
      </c>
      <c r="E20" t="s">
        <v>115</v>
      </c>
    </row>
    <row r="21" spans="1:5" x14ac:dyDescent="0.55000000000000004">
      <c r="A21" t="s">
        <v>78</v>
      </c>
      <c r="B21">
        <v>8</v>
      </c>
      <c r="C21" t="s">
        <v>116</v>
      </c>
      <c r="D21" t="s">
        <v>114</v>
      </c>
      <c r="E21" t="str">
        <f ca="1">TEXT(TODAY(),"YYYYMMDD")</f>
        <v>20260304</v>
      </c>
    </row>
    <row r="22" spans="1:5" x14ac:dyDescent="0.55000000000000004">
      <c r="A22" t="s">
        <v>181</v>
      </c>
      <c r="B22">
        <v>1</v>
      </c>
      <c r="C22" t="s">
        <v>104</v>
      </c>
      <c r="D22" t="s">
        <v>105</v>
      </c>
      <c r="E22" t="s">
        <v>0</v>
      </c>
    </row>
    <row r="23" spans="1:5" x14ac:dyDescent="0.55000000000000004">
      <c r="A23" t="s">
        <v>181</v>
      </c>
      <c r="B23">
        <v>2</v>
      </c>
      <c r="C23" t="s">
        <v>106</v>
      </c>
      <c r="D23" t="s">
        <v>105</v>
      </c>
      <c r="E23" t="s">
        <v>107</v>
      </c>
    </row>
    <row r="24" spans="1:5" x14ac:dyDescent="0.55000000000000004">
      <c r="A24" t="s">
        <v>181</v>
      </c>
      <c r="B24">
        <v>3</v>
      </c>
      <c r="C24" t="s">
        <v>108</v>
      </c>
      <c r="D24" t="s">
        <v>105</v>
      </c>
      <c r="E24" t="s">
        <v>11</v>
      </c>
    </row>
    <row r="25" spans="1:5" x14ac:dyDescent="0.55000000000000004">
      <c r="A25" t="s">
        <v>181</v>
      </c>
      <c r="B25">
        <v>4</v>
      </c>
      <c r="C25" t="s">
        <v>13</v>
      </c>
      <c r="D25" t="s">
        <v>105</v>
      </c>
      <c r="E25" t="s">
        <v>13</v>
      </c>
    </row>
    <row r="26" spans="1:5" x14ac:dyDescent="0.55000000000000004">
      <c r="A26" t="s">
        <v>181</v>
      </c>
      <c r="B26">
        <v>5</v>
      </c>
      <c r="C26" t="s">
        <v>109</v>
      </c>
      <c r="D26" t="s">
        <v>110</v>
      </c>
      <c r="E26" t="s">
        <v>111</v>
      </c>
    </row>
    <row r="27" spans="1:5" x14ac:dyDescent="0.55000000000000004">
      <c r="A27" t="s">
        <v>181</v>
      </c>
      <c r="B27">
        <v>6</v>
      </c>
      <c r="C27" t="s">
        <v>112</v>
      </c>
      <c r="D27" t="s">
        <v>110</v>
      </c>
      <c r="E27" s="5">
        <f ca="1">TODAY()</f>
        <v>46085</v>
      </c>
    </row>
    <row r="28" spans="1:5" x14ac:dyDescent="0.55000000000000004">
      <c r="A28" t="s">
        <v>181</v>
      </c>
      <c r="B28">
        <v>8</v>
      </c>
      <c r="C28" t="s">
        <v>116</v>
      </c>
      <c r="D28" t="s">
        <v>114</v>
      </c>
      <c r="E28" t="str">
        <f ca="1">TEXT(TODAY(),"YYYYMMDD")</f>
        <v>20260304</v>
      </c>
    </row>
  </sheetData>
  <dataConsolidate/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owReconForm">
                <anchor moveWithCells="1" sizeWithCells="1">
                  <from>
                    <xdr:col>5</xdr:col>
                    <xdr:colOff>628650</xdr:colOff>
                    <xdr:row>0</xdr:row>
                    <xdr:rowOff>26670</xdr:rowOff>
                  </from>
                  <to>
                    <xdr:col>7</xdr:col>
                    <xdr:colOff>502920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  <row r="26" spans="1:6" x14ac:dyDescent="0.55000000000000004">
      <c r="A26">
        <v>1014</v>
      </c>
      <c r="B26" t="s">
        <v>166</v>
      </c>
      <c r="C26" t="s">
        <v>66</v>
      </c>
      <c r="D26">
        <v>0.01</v>
      </c>
      <c r="E26" t="s">
        <v>167</v>
      </c>
      <c r="F26" t="s">
        <v>118</v>
      </c>
    </row>
    <row r="27" spans="1:6" x14ac:dyDescent="0.55000000000000004">
      <c r="A27">
        <v>1014</v>
      </c>
      <c r="B27" t="s">
        <v>166</v>
      </c>
      <c r="C27" t="s">
        <v>66</v>
      </c>
      <c r="D27">
        <v>0.02</v>
      </c>
      <c r="E27" t="s">
        <v>168</v>
      </c>
      <c r="F27" t="s">
        <v>118</v>
      </c>
    </row>
    <row r="28" spans="1:6" x14ac:dyDescent="0.55000000000000004">
      <c r="A28">
        <v>1015</v>
      </c>
      <c r="B28" t="s">
        <v>169</v>
      </c>
      <c r="C28" t="s">
        <v>66</v>
      </c>
      <c r="D28">
        <v>-0.01</v>
      </c>
      <c r="E28" t="s">
        <v>170</v>
      </c>
      <c r="F28" t="s">
        <v>118</v>
      </c>
    </row>
    <row r="29" spans="1:6" x14ac:dyDescent="0.55000000000000004">
      <c r="A29">
        <v>1015</v>
      </c>
      <c r="B29" t="s">
        <v>169</v>
      </c>
      <c r="C29" t="s">
        <v>66</v>
      </c>
      <c r="D29">
        <v>-0.02</v>
      </c>
      <c r="E29" t="s">
        <v>171</v>
      </c>
      <c r="F29" t="s">
        <v>118</v>
      </c>
    </row>
    <row r="30" spans="1:6" x14ac:dyDescent="0.55000000000000004">
      <c r="A30">
        <v>1016</v>
      </c>
      <c r="B30" t="s">
        <v>172</v>
      </c>
      <c r="C30" t="s">
        <v>66</v>
      </c>
      <c r="D30">
        <v>0.03</v>
      </c>
      <c r="E30" t="s">
        <v>173</v>
      </c>
      <c r="F30" t="s">
        <v>118</v>
      </c>
    </row>
    <row r="31" spans="1:6" x14ac:dyDescent="0.55000000000000004">
      <c r="A31">
        <v>1016</v>
      </c>
      <c r="B31" t="s">
        <v>172</v>
      </c>
      <c r="C31" t="s">
        <v>66</v>
      </c>
      <c r="D31">
        <v>-0.01</v>
      </c>
      <c r="E31" t="s">
        <v>174</v>
      </c>
      <c r="F31" t="s">
        <v>118</v>
      </c>
    </row>
    <row r="32" spans="1:6" x14ac:dyDescent="0.55000000000000004">
      <c r="A32">
        <v>1017</v>
      </c>
      <c r="B32" t="s">
        <v>175</v>
      </c>
      <c r="C32" t="s">
        <v>66</v>
      </c>
      <c r="D32">
        <v>0.01</v>
      </c>
      <c r="E32" t="s">
        <v>176</v>
      </c>
      <c r="F32" t="s">
        <v>118</v>
      </c>
    </row>
    <row r="33" spans="1:6" x14ac:dyDescent="0.55000000000000004">
      <c r="A33">
        <v>1017</v>
      </c>
      <c r="B33" t="s">
        <v>175</v>
      </c>
      <c r="C33" t="s">
        <v>66</v>
      </c>
      <c r="D33">
        <v>-0.03</v>
      </c>
      <c r="E33" t="s">
        <v>177</v>
      </c>
      <c r="F33" t="s">
        <v>118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90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136.207031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  <row r="156" spans="1:7" x14ac:dyDescent="0.55000000000000004">
      <c r="A156" s="8">
        <v>46069.570636574077</v>
      </c>
      <c r="B156" s="6" t="s">
        <v>32</v>
      </c>
      <c r="C156" s="6" t="s">
        <v>33</v>
      </c>
      <c r="D156" s="6" t="s">
        <v>64</v>
      </c>
      <c r="E156" s="6" t="s">
        <v>35</v>
      </c>
      <c r="F156" s="6">
        <v>11</v>
      </c>
      <c r="G156" s="6" t="s">
        <v>28</v>
      </c>
    </row>
    <row r="157" spans="1:7" x14ac:dyDescent="0.55000000000000004">
      <c r="A157" s="8">
        <v>46069.570717592593</v>
      </c>
      <c r="B157" s="6" t="s">
        <v>32</v>
      </c>
      <c r="C157" s="6" t="s">
        <v>33</v>
      </c>
      <c r="D157" s="6" t="s">
        <v>67</v>
      </c>
      <c r="E157" s="6" t="s">
        <v>35</v>
      </c>
      <c r="F157" s="6">
        <v>32</v>
      </c>
      <c r="G157" s="6" t="s">
        <v>28</v>
      </c>
    </row>
    <row r="158" spans="1:7" x14ac:dyDescent="0.55000000000000004">
      <c r="A158" s="8">
        <v>46069.570775462962</v>
      </c>
      <c r="B158" s="6" t="s">
        <v>37</v>
      </c>
      <c r="C158" s="6" t="s">
        <v>78</v>
      </c>
      <c r="D158" s="6" t="s">
        <v>178</v>
      </c>
      <c r="E158" s="6" t="s">
        <v>35</v>
      </c>
      <c r="F158" s="6">
        <v>12</v>
      </c>
      <c r="G158" s="6" t="s">
        <v>28</v>
      </c>
    </row>
    <row r="159" spans="1:7" x14ac:dyDescent="0.55000000000000004">
      <c r="A159" s="8">
        <v>46069.571053240739</v>
      </c>
      <c r="B159" s="6" t="s">
        <v>39</v>
      </c>
      <c r="C159" s="6" t="s">
        <v>78</v>
      </c>
      <c r="D159" s="6" t="s">
        <v>156</v>
      </c>
      <c r="E159" s="6" t="s">
        <v>35</v>
      </c>
      <c r="F159" s="6">
        <v>8</v>
      </c>
      <c r="G159" s="6" t="s">
        <v>28</v>
      </c>
    </row>
    <row r="160" spans="1:7" x14ac:dyDescent="0.55000000000000004">
      <c r="A160" s="8">
        <v>46069.571192129632</v>
      </c>
      <c r="B160" s="6" t="s">
        <v>39</v>
      </c>
      <c r="C160" s="6" t="s">
        <v>78</v>
      </c>
      <c r="D160" s="6" t="s">
        <v>157</v>
      </c>
      <c r="E160" s="6" t="s">
        <v>35</v>
      </c>
      <c r="F160" s="6">
        <v>8</v>
      </c>
      <c r="G160" s="6" t="s">
        <v>28</v>
      </c>
    </row>
    <row r="161" spans="1:7" x14ac:dyDescent="0.55000000000000004">
      <c r="A161" s="8">
        <v>46069.571608796294</v>
      </c>
      <c r="B161" s="6" t="s">
        <v>37</v>
      </c>
      <c r="C161" s="6" t="s">
        <v>78</v>
      </c>
      <c r="D161" s="6" t="s">
        <v>179</v>
      </c>
      <c r="E161" s="6" t="s">
        <v>35</v>
      </c>
      <c r="F161" s="6">
        <v>12</v>
      </c>
      <c r="G161" s="6" t="s">
        <v>28</v>
      </c>
    </row>
    <row r="162" spans="1:7" x14ac:dyDescent="0.55000000000000004">
      <c r="A162" s="8">
        <v>46069.571689814817</v>
      </c>
      <c r="B162" s="6" t="s">
        <v>39</v>
      </c>
      <c r="C162" s="6" t="s">
        <v>78</v>
      </c>
      <c r="D162" s="6" t="s">
        <v>156</v>
      </c>
      <c r="E162" s="6" t="s">
        <v>35</v>
      </c>
      <c r="F162" s="6">
        <v>16</v>
      </c>
      <c r="G162" s="6" t="s">
        <v>28</v>
      </c>
    </row>
    <row r="163" spans="1:7" x14ac:dyDescent="0.55000000000000004">
      <c r="A163" s="8">
        <v>46069.572453703702</v>
      </c>
      <c r="B163" s="6" t="s">
        <v>32</v>
      </c>
      <c r="C163" s="6" t="s">
        <v>33</v>
      </c>
      <c r="D163" s="6" t="s">
        <v>67</v>
      </c>
      <c r="E163" s="6" t="s">
        <v>35</v>
      </c>
      <c r="F163" s="6">
        <v>32</v>
      </c>
      <c r="G163" s="6" t="s">
        <v>28</v>
      </c>
    </row>
    <row r="164" spans="1:7" x14ac:dyDescent="0.55000000000000004">
      <c r="A164" s="8">
        <v>46069.572465277779</v>
      </c>
      <c r="B164" s="6" t="s">
        <v>37</v>
      </c>
      <c r="C164" s="6" t="s">
        <v>78</v>
      </c>
      <c r="D164" s="6" t="s">
        <v>179</v>
      </c>
      <c r="E164" s="6" t="s">
        <v>35</v>
      </c>
      <c r="F164" s="6">
        <v>12</v>
      </c>
      <c r="G164" s="6" t="s">
        <v>28</v>
      </c>
    </row>
    <row r="165" spans="1:7" x14ac:dyDescent="0.55000000000000004">
      <c r="A165" s="8">
        <v>46069.572592592594</v>
      </c>
      <c r="B165" s="6" t="s">
        <v>39</v>
      </c>
      <c r="C165" s="6" t="s">
        <v>78</v>
      </c>
      <c r="D165" s="6" t="s">
        <v>156</v>
      </c>
      <c r="E165" s="6" t="s">
        <v>35</v>
      </c>
      <c r="F165" s="6">
        <v>16</v>
      </c>
      <c r="G165" s="6" t="s">
        <v>28</v>
      </c>
    </row>
    <row r="166" spans="1:7" x14ac:dyDescent="0.55000000000000004">
      <c r="A166" s="8">
        <v>46069.572835648149</v>
      </c>
      <c r="B166" s="6" t="s">
        <v>39</v>
      </c>
      <c r="C166" s="6" t="s">
        <v>78</v>
      </c>
      <c r="D166" s="6" t="s">
        <v>157</v>
      </c>
      <c r="E166" s="6" t="s">
        <v>35</v>
      </c>
      <c r="F166" s="6">
        <v>10</v>
      </c>
      <c r="G166" s="6" t="s">
        <v>28</v>
      </c>
    </row>
    <row r="167" spans="1:7" x14ac:dyDescent="0.55000000000000004">
      <c r="A167" s="8">
        <v>46069.574421296296</v>
      </c>
      <c r="B167" s="6" t="s">
        <v>32</v>
      </c>
      <c r="C167" s="6" t="s">
        <v>33</v>
      </c>
      <c r="D167" s="6" t="s">
        <v>64</v>
      </c>
      <c r="E167" s="6" t="s">
        <v>35</v>
      </c>
      <c r="F167" s="6">
        <v>11</v>
      </c>
      <c r="G167" s="6" t="s">
        <v>28</v>
      </c>
    </row>
    <row r="168" spans="1:7" x14ac:dyDescent="0.55000000000000004">
      <c r="A168" s="8">
        <v>46069.574479166666</v>
      </c>
      <c r="B168" s="6" t="s">
        <v>32</v>
      </c>
      <c r="C168" s="6" t="s">
        <v>33</v>
      </c>
      <c r="D168" s="6" t="s">
        <v>67</v>
      </c>
      <c r="E168" s="6" t="s">
        <v>35</v>
      </c>
      <c r="F168" s="6">
        <v>32</v>
      </c>
      <c r="G168" s="6" t="s">
        <v>28</v>
      </c>
    </row>
    <row r="169" spans="1:7" x14ac:dyDescent="0.55000000000000004">
      <c r="A169" s="8">
        <v>46069.574525462966</v>
      </c>
      <c r="B169" s="6" t="s">
        <v>37</v>
      </c>
      <c r="C169" s="6" t="s">
        <v>78</v>
      </c>
      <c r="D169" s="6" t="s">
        <v>179</v>
      </c>
      <c r="E169" s="6" t="s">
        <v>35</v>
      </c>
      <c r="F169" s="6">
        <v>12</v>
      </c>
      <c r="G169" s="6" t="s">
        <v>28</v>
      </c>
    </row>
    <row r="170" spans="1:7" x14ac:dyDescent="0.55000000000000004">
      <c r="A170" s="8">
        <v>46069.574548611112</v>
      </c>
      <c r="B170" s="6" t="s">
        <v>39</v>
      </c>
      <c r="C170" s="6" t="s">
        <v>78</v>
      </c>
      <c r="D170" s="6" t="s">
        <v>157</v>
      </c>
      <c r="E170" s="6" t="s">
        <v>35</v>
      </c>
      <c r="F170" s="6">
        <v>10</v>
      </c>
      <c r="G170" s="6" t="s">
        <v>28</v>
      </c>
    </row>
    <row r="171" spans="1:7" x14ac:dyDescent="0.55000000000000004">
      <c r="A171" s="8">
        <v>46069.661365740743</v>
      </c>
      <c r="B171" s="6" t="s">
        <v>39</v>
      </c>
      <c r="C171" s="6" t="s">
        <v>78</v>
      </c>
      <c r="D171" s="6" t="s">
        <v>156</v>
      </c>
      <c r="E171" s="6" t="s">
        <v>35</v>
      </c>
      <c r="F171" s="6">
        <v>16</v>
      </c>
      <c r="G171" s="6" t="s">
        <v>28</v>
      </c>
    </row>
    <row r="172" spans="1:7" x14ac:dyDescent="0.55000000000000004">
      <c r="A172" s="8">
        <v>46069.662557870368</v>
      </c>
      <c r="B172" s="6" t="s">
        <v>37</v>
      </c>
      <c r="C172" s="6" t="s">
        <v>181</v>
      </c>
      <c r="D172" s="6" t="s">
        <v>179</v>
      </c>
      <c r="E172" s="6" t="s">
        <v>35</v>
      </c>
      <c r="F172" s="6">
        <v>12</v>
      </c>
      <c r="G172" s="6" t="s">
        <v>28</v>
      </c>
    </row>
    <row r="173" spans="1:7" x14ac:dyDescent="0.55000000000000004">
      <c r="A173" s="8">
        <v>46069.662604166668</v>
      </c>
      <c r="B173" s="6" t="s">
        <v>39</v>
      </c>
      <c r="C173" s="6" t="s">
        <v>181</v>
      </c>
      <c r="D173" s="6" t="s">
        <v>183</v>
      </c>
      <c r="E173" s="6" t="s">
        <v>35</v>
      </c>
      <c r="F173" s="6">
        <v>16</v>
      </c>
      <c r="G173" s="6" t="s">
        <v>28</v>
      </c>
    </row>
    <row r="174" spans="1:7" x14ac:dyDescent="0.55000000000000004">
      <c r="A174" s="8">
        <v>46069.665972222225</v>
      </c>
      <c r="B174" s="6" t="s">
        <v>39</v>
      </c>
      <c r="C174" s="6" t="s">
        <v>181</v>
      </c>
      <c r="D174" s="6" t="s">
        <v>184</v>
      </c>
      <c r="E174" s="6" t="s">
        <v>35</v>
      </c>
      <c r="F174" s="6">
        <v>2</v>
      </c>
      <c r="G174" s="6" t="s">
        <v>28</v>
      </c>
    </row>
    <row r="175" spans="1:7" x14ac:dyDescent="0.55000000000000004">
      <c r="A175" s="8">
        <v>46070.596134259256</v>
      </c>
      <c r="B175" s="6" t="s">
        <v>185</v>
      </c>
      <c r="C175" s="6" t="s">
        <v>33</v>
      </c>
      <c r="D175" s="6" t="s">
        <v>186</v>
      </c>
      <c r="E175" s="6" t="s">
        <v>35</v>
      </c>
      <c r="F175" s="6">
        <v>0</v>
      </c>
      <c r="G175" s="6" t="s">
        <v>28</v>
      </c>
    </row>
    <row r="176" spans="1:7" x14ac:dyDescent="0.55000000000000004">
      <c r="A176" s="9">
        <v>46085.565416666665</v>
      </c>
      <c r="B176" s="10" t="s">
        <v>32</v>
      </c>
      <c r="C176" s="10" t="s">
        <v>33</v>
      </c>
      <c r="D176" s="10" t="s">
        <v>64</v>
      </c>
      <c r="E176" s="10" t="s">
        <v>35</v>
      </c>
      <c r="F176" s="10">
        <v>11</v>
      </c>
      <c r="G176" s="10" t="s">
        <v>28</v>
      </c>
    </row>
    <row r="177" spans="1:7" x14ac:dyDescent="0.55000000000000004">
      <c r="A177" s="9">
        <v>46085.565763888888</v>
      </c>
      <c r="B177" s="10" t="s">
        <v>32</v>
      </c>
      <c r="C177" s="10" t="s">
        <v>33</v>
      </c>
      <c r="D177" s="10" t="s">
        <v>67</v>
      </c>
      <c r="E177" s="10" t="s">
        <v>35</v>
      </c>
      <c r="F177" s="10">
        <v>32</v>
      </c>
      <c r="G177" s="10" t="s">
        <v>28</v>
      </c>
    </row>
    <row r="178" spans="1:7" x14ac:dyDescent="0.55000000000000004">
      <c r="A178" s="9">
        <v>46085.56590277778</v>
      </c>
      <c r="B178" s="10" t="s">
        <v>37</v>
      </c>
      <c r="C178" s="10" t="s">
        <v>78</v>
      </c>
      <c r="D178" s="10" t="s">
        <v>179</v>
      </c>
      <c r="E178" s="10" t="s">
        <v>35</v>
      </c>
      <c r="F178" s="10">
        <v>12</v>
      </c>
      <c r="G178" s="10" t="s">
        <v>28</v>
      </c>
    </row>
    <row r="179" spans="1:7" x14ac:dyDescent="0.55000000000000004">
      <c r="A179" s="9">
        <v>46085.566631944443</v>
      </c>
      <c r="B179" s="10" t="s">
        <v>39</v>
      </c>
      <c r="C179" s="10" t="s">
        <v>78</v>
      </c>
      <c r="D179" s="10" t="s">
        <v>290</v>
      </c>
      <c r="E179" s="10" t="s">
        <v>69</v>
      </c>
      <c r="F179" s="10">
        <v>0</v>
      </c>
      <c r="G179" s="10" t="s">
        <v>28</v>
      </c>
    </row>
    <row r="180" spans="1:7" x14ac:dyDescent="0.55000000000000004">
      <c r="A180" s="9">
        <v>46085.59584490741</v>
      </c>
      <c r="B180" s="10" t="s">
        <v>39</v>
      </c>
      <c r="C180" s="10" t="s">
        <v>78</v>
      </c>
      <c r="D180" s="10" t="s">
        <v>290</v>
      </c>
      <c r="E180" s="10" t="s">
        <v>69</v>
      </c>
      <c r="F180" s="10">
        <v>0</v>
      </c>
      <c r="G180" s="10" t="s">
        <v>28</v>
      </c>
    </row>
    <row r="181" spans="1:7" x14ac:dyDescent="0.55000000000000004">
      <c r="A181" s="9">
        <v>46085.596377314818</v>
      </c>
      <c r="B181" s="10" t="s">
        <v>39</v>
      </c>
      <c r="C181" s="10" t="s">
        <v>78</v>
      </c>
      <c r="D181" s="10" t="s">
        <v>290</v>
      </c>
      <c r="E181" s="10" t="s">
        <v>69</v>
      </c>
      <c r="F181" s="10">
        <v>0</v>
      </c>
      <c r="G181" s="10" t="s">
        <v>28</v>
      </c>
    </row>
    <row r="182" spans="1:7" x14ac:dyDescent="0.55000000000000004">
      <c r="A182" s="9">
        <v>46085.600787037038</v>
      </c>
      <c r="B182" s="10" t="s">
        <v>39</v>
      </c>
      <c r="C182" s="10" t="s">
        <v>181</v>
      </c>
      <c r="D182" s="10" t="s">
        <v>291</v>
      </c>
      <c r="E182" s="10" t="s">
        <v>35</v>
      </c>
      <c r="F182" s="10">
        <v>2</v>
      </c>
      <c r="G182" s="10" t="s">
        <v>28</v>
      </c>
    </row>
    <row r="183" spans="1:7" x14ac:dyDescent="0.55000000000000004">
      <c r="A183" s="9">
        <v>46085.601979166669</v>
      </c>
      <c r="B183" s="10" t="s">
        <v>39</v>
      </c>
      <c r="C183" s="10" t="s">
        <v>181</v>
      </c>
      <c r="D183" s="10" t="s">
        <v>293</v>
      </c>
      <c r="E183" s="10" t="s">
        <v>35</v>
      </c>
      <c r="F183" s="10">
        <v>2</v>
      </c>
      <c r="G183" s="10" t="s">
        <v>28</v>
      </c>
    </row>
    <row r="184" spans="1:7" x14ac:dyDescent="0.55000000000000004">
      <c r="A184" s="9">
        <v>46085.606354166666</v>
      </c>
      <c r="B184" s="10" t="s">
        <v>39</v>
      </c>
      <c r="C184" s="10" t="s">
        <v>181</v>
      </c>
      <c r="D184" s="10" t="s">
        <v>184</v>
      </c>
      <c r="E184" s="10" t="s">
        <v>35</v>
      </c>
      <c r="F184" s="10">
        <v>2</v>
      </c>
      <c r="G184" s="10" t="s">
        <v>28</v>
      </c>
    </row>
    <row r="185" spans="1:7" x14ac:dyDescent="0.55000000000000004">
      <c r="A185" s="9">
        <v>46085.606956018521</v>
      </c>
      <c r="B185" s="10" t="s">
        <v>39</v>
      </c>
      <c r="C185" s="10" t="s">
        <v>181</v>
      </c>
      <c r="D185" s="10" t="s">
        <v>183</v>
      </c>
      <c r="E185" s="10" t="s">
        <v>35</v>
      </c>
      <c r="F185" s="10">
        <v>2</v>
      </c>
      <c r="G185" s="10" t="s">
        <v>28</v>
      </c>
    </row>
    <row r="186" spans="1:7" x14ac:dyDescent="0.55000000000000004">
      <c r="A186" s="9">
        <v>46085.607314814813</v>
      </c>
      <c r="B186" s="10" t="s">
        <v>37</v>
      </c>
      <c r="C186" s="10" t="s">
        <v>181</v>
      </c>
      <c r="D186" s="10" t="s">
        <v>179</v>
      </c>
      <c r="E186" s="10" t="s">
        <v>35</v>
      </c>
      <c r="F186" s="10">
        <v>12</v>
      </c>
      <c r="G186" s="10" t="s">
        <v>28</v>
      </c>
    </row>
    <row r="187" spans="1:7" x14ac:dyDescent="0.55000000000000004">
      <c r="A187" s="9">
        <v>46085.608680555553</v>
      </c>
      <c r="B187" s="10" t="s">
        <v>39</v>
      </c>
      <c r="C187" s="10" t="s">
        <v>181</v>
      </c>
      <c r="D187" s="10" t="s">
        <v>184</v>
      </c>
      <c r="E187" s="10" t="s">
        <v>35</v>
      </c>
      <c r="F187" s="10">
        <v>2</v>
      </c>
      <c r="G187" s="10" t="s">
        <v>28</v>
      </c>
    </row>
    <row r="188" spans="1:7" x14ac:dyDescent="0.55000000000000004">
      <c r="A188" s="9">
        <v>46085.609513888892</v>
      </c>
      <c r="B188" s="10" t="s">
        <v>37</v>
      </c>
      <c r="C188" s="10" t="s">
        <v>181</v>
      </c>
      <c r="D188" s="10" t="s">
        <v>179</v>
      </c>
      <c r="E188" s="10" t="s">
        <v>35</v>
      </c>
      <c r="F188" s="10">
        <v>12</v>
      </c>
      <c r="G188" s="10" t="s">
        <v>28</v>
      </c>
    </row>
    <row r="189" spans="1:7" x14ac:dyDescent="0.55000000000000004">
      <c r="A189" s="9">
        <v>46085.610613425924</v>
      </c>
      <c r="B189" s="10" t="s">
        <v>39</v>
      </c>
      <c r="C189" s="10" t="s">
        <v>181</v>
      </c>
      <c r="D189" s="10" t="s">
        <v>183</v>
      </c>
      <c r="E189" s="10" t="s">
        <v>35</v>
      </c>
      <c r="F189" s="10">
        <v>8</v>
      </c>
      <c r="G189" s="10" t="s">
        <v>28</v>
      </c>
    </row>
    <row r="190" spans="1:7" x14ac:dyDescent="0.55000000000000004">
      <c r="A190" s="9">
        <v>46085.61105324074</v>
      </c>
      <c r="B190" s="10" t="s">
        <v>39</v>
      </c>
      <c r="C190" s="10" t="s">
        <v>181</v>
      </c>
      <c r="D190" s="10" t="s">
        <v>183</v>
      </c>
      <c r="E190" s="10" t="s">
        <v>35</v>
      </c>
      <c r="F190" s="10">
        <v>8</v>
      </c>
      <c r="G190" s="10" t="s">
        <v>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3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17"/>
  <sheetViews>
    <sheetView tabSelected="1" workbookViewId="0">
      <pane ySplit="1" topLeftCell="A2" activePane="bottomLeft" state="frozen"/>
      <selection activeCell="A4" sqref="A4"/>
      <selection pane="bottomLeft" activeCell="C2" sqref="C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17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ht="38.1" customHeight="1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G2">
        <f>Table4[[#This Row],[Amount]]*0.98</f>
        <v>98</v>
      </c>
      <c r="H2">
        <f t="shared" ref="H2:H17" si="0"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  <c r="G3">
        <f>Table4[[#This Row],[Amount]]*0.98</f>
        <v>49</v>
      </c>
      <c r="H3">
        <f t="shared" si="0"/>
        <v>20260216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  <c r="G4">
        <f>Table4[[#This Row],[Amount]]*0.98</f>
        <v>147.49</v>
      </c>
      <c r="H4">
        <f t="shared" si="0"/>
        <v>20260216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  <c r="G5">
        <f>Table4[[#This Row],[Amount]]*0.98</f>
        <v>73.5</v>
      </c>
      <c r="H5">
        <f t="shared" si="0"/>
        <v>20260216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  <c r="G6">
        <f>Table4[[#This Row],[Amount]]*0.98</f>
        <v>196</v>
      </c>
      <c r="H6">
        <f t="shared" si="0"/>
        <v>20260216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  <c r="G7">
        <f>Table4[[#This Row],[Amount]]*0.98</f>
        <v>98</v>
      </c>
      <c r="H7">
        <f t="shared" si="0"/>
        <v>20260216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  <c r="G8">
        <f>Table4[[#This Row],[Amount]]*0.98</f>
        <v>147</v>
      </c>
      <c r="H8">
        <f t="shared" si="0"/>
        <v>20260216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  <c r="G9">
        <f>Table4[[#This Row],[Amount]]*0.98</f>
        <v>58.8</v>
      </c>
      <c r="H9">
        <f t="shared" si="0"/>
        <v>20260216</v>
      </c>
    </row>
    <row r="10" spans="1:8" x14ac:dyDescent="0.55000000000000004">
      <c r="A10">
        <v>1014</v>
      </c>
      <c r="C10" t="s">
        <v>66</v>
      </c>
      <c r="D10">
        <v>0.01</v>
      </c>
      <c r="E10" t="s">
        <v>111</v>
      </c>
      <c r="F10" s="5">
        <v>46069</v>
      </c>
      <c r="G10">
        <f>Table4[[#This Row],[Amount]]*0.98</f>
        <v>9.7999999999999997E-3</v>
      </c>
      <c r="H10">
        <f t="shared" si="0"/>
        <v>20260216</v>
      </c>
    </row>
    <row r="11" spans="1:8" x14ac:dyDescent="0.55000000000000004">
      <c r="A11">
        <v>1014</v>
      </c>
      <c r="C11" t="s">
        <v>66</v>
      </c>
      <c r="D11">
        <v>0.02</v>
      </c>
      <c r="E11" t="s">
        <v>111</v>
      </c>
      <c r="F11" s="5">
        <v>46069</v>
      </c>
      <c r="G11">
        <f>Table4[[#This Row],[Amount]]*0.98</f>
        <v>1.9599999999999999E-2</v>
      </c>
      <c r="H11">
        <f t="shared" si="0"/>
        <v>20260216</v>
      </c>
    </row>
    <row r="12" spans="1:8" x14ac:dyDescent="0.55000000000000004">
      <c r="A12">
        <v>1015</v>
      </c>
      <c r="C12" t="s">
        <v>66</v>
      </c>
      <c r="D12">
        <v>-0.01</v>
      </c>
      <c r="E12" t="s">
        <v>111</v>
      </c>
      <c r="F12" s="5">
        <v>46069</v>
      </c>
      <c r="G12">
        <f>Table4[[#This Row],[Amount]]*0.98</f>
        <v>-9.7999999999999997E-3</v>
      </c>
      <c r="H12">
        <f t="shared" si="0"/>
        <v>20260216</v>
      </c>
    </row>
    <row r="13" spans="1:8" x14ac:dyDescent="0.55000000000000004">
      <c r="A13">
        <v>1015</v>
      </c>
      <c r="C13" t="s">
        <v>66</v>
      </c>
      <c r="D13">
        <v>-0.02</v>
      </c>
      <c r="E13" t="s">
        <v>111</v>
      </c>
      <c r="F13" s="5">
        <v>46069</v>
      </c>
      <c r="G13">
        <f>Table4[[#This Row],[Amount]]*0.98</f>
        <v>-1.9599999999999999E-2</v>
      </c>
      <c r="H13">
        <f t="shared" si="0"/>
        <v>20260216</v>
      </c>
    </row>
    <row r="14" spans="1:8" x14ac:dyDescent="0.55000000000000004">
      <c r="A14">
        <v>1016</v>
      </c>
      <c r="C14" t="s">
        <v>66</v>
      </c>
      <c r="D14">
        <v>0.03</v>
      </c>
      <c r="E14" t="s">
        <v>111</v>
      </c>
      <c r="F14" s="5">
        <v>46069</v>
      </c>
      <c r="G14">
        <f>Table4[[#This Row],[Amount]]*0.98</f>
        <v>2.9399999999999999E-2</v>
      </c>
      <c r="H14">
        <f t="shared" si="0"/>
        <v>20260216</v>
      </c>
    </row>
    <row r="15" spans="1:8" x14ac:dyDescent="0.55000000000000004">
      <c r="A15">
        <v>1016</v>
      </c>
      <c r="C15" t="s">
        <v>66</v>
      </c>
      <c r="D15">
        <v>-0.01</v>
      </c>
      <c r="E15" t="s">
        <v>111</v>
      </c>
      <c r="F15" s="5">
        <v>46069</v>
      </c>
      <c r="G15">
        <f>Table4[[#This Row],[Amount]]*0.98</f>
        <v>-9.7999999999999997E-3</v>
      </c>
      <c r="H15">
        <f t="shared" si="0"/>
        <v>20260216</v>
      </c>
    </row>
    <row r="16" spans="1:8" x14ac:dyDescent="0.55000000000000004">
      <c r="A16">
        <v>1017</v>
      </c>
      <c r="C16" t="s">
        <v>66</v>
      </c>
      <c r="D16">
        <v>0.01</v>
      </c>
      <c r="E16" t="s">
        <v>111</v>
      </c>
      <c r="F16" s="5">
        <v>46069</v>
      </c>
      <c r="G16">
        <f>Table4[[#This Row],[Amount]]*0.98</f>
        <v>9.7999999999999997E-3</v>
      </c>
      <c r="H16">
        <f t="shared" si="0"/>
        <v>20260216</v>
      </c>
    </row>
    <row r="17" spans="1:8" x14ac:dyDescent="0.55000000000000004">
      <c r="A17">
        <v>1017</v>
      </c>
      <c r="C17" t="s">
        <v>66</v>
      </c>
      <c r="D17">
        <v>-0.03</v>
      </c>
      <c r="E17" t="s">
        <v>111</v>
      </c>
      <c r="F17" s="5">
        <v>46069</v>
      </c>
      <c r="G17">
        <f>Table4[[#This Row],[Amount]]*0.98</f>
        <v>-2.9399999999999999E-2</v>
      </c>
      <c r="H17">
        <f t="shared" si="0"/>
        <v>20260216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3" name="Button 2">
              <controlPr defaultSize="0" print="0" autoFill="0" autoPict="0" macro="[0]!SaveSheetToFile">
                <anchor moveWithCells="1" sizeWithCells="1">
                  <from>
                    <xdr:col>9</xdr:col>
                    <xdr:colOff>7620</xdr:colOff>
                    <xdr:row>0</xdr:row>
                    <xdr:rowOff>11430</xdr:rowOff>
                  </from>
                  <to>
                    <xdr:col>9</xdr:col>
                    <xdr:colOff>617220</xdr:colOff>
                    <xdr:row>0</xdr:row>
                    <xdr:rowOff>293370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>
      <selection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>
      <selection activeCell="A4" sqref="A4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>
      <selection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4B99A-29C2-494A-BC9D-F7FA7FB99F54}">
  <sheetPr codeName="Sheet9"/>
  <dimension ref="A1:H9"/>
  <sheetViews>
    <sheetView workbookViewId="0">
      <selection activeCell="A2" sqref="A2:G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0.2070312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180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46085</v>
      </c>
      <c r="H2">
        <f>20260304</f>
        <v>20260304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46085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46085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46085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46085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46085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46085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46085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ConfigReference</vt:lpstr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  <vt:lpstr>Fee 2 All Results</vt:lpstr>
      <vt:lpstr>Fee 2 Match Results</vt:lpstr>
      <vt:lpstr>Fee 2 Error Results</vt:lpstr>
      <vt:lpstr>Fee 2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2026-03-04T20:44:31Z</dcterms:modified>
</cp:coreProperties>
</file>