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4866" documentId="8_{02591AEE-AA27-4992-A490-F4BCF6A95374}" xr6:coauthVersionLast="47" xr6:coauthVersionMax="47" xr10:uidLastSave="{3A25984B-E457-437B-9B8F-C9BC4B9A3CFA}"/>
  <bookViews>
    <workbookView xWindow="45984" yWindow="0" windowWidth="19308" windowHeight="9804" tabRatio="901" firstSheet="4" activeTab="14" xr2:uid="{713D0E20-2510-4F46-8450-E6CC1A43B8CC}"/>
  </bookViews>
  <sheets>
    <sheet name="Backlog" sheetId="11" r:id="rId1"/>
    <sheet name="Workflows" sheetId="12" r:id="rId2"/>
    <sheet name="Recon Config" sheetId="1" r:id="rId3"/>
    <sheet name="Recon Config - Summary" sheetId="13" r:id="rId4"/>
    <sheet name="Transform Config" sheetId="8" r:id="rId5"/>
    <sheet name="Transform Config - Summary" sheetId="14" r:id="rId6"/>
    <sheet name="Sheet1" sheetId="3" r:id="rId7"/>
    <sheet name="Sheet2" sheetId="2" r:id="rId8"/>
    <sheet name="All Results" sheetId="4" r:id="rId9"/>
    <sheet name="Match Results" sheetId="5" r:id="rId10"/>
    <sheet name="Error Results" sheetId="6" r:id="rId11"/>
    <sheet name="Export" sheetId="9" r:id="rId12"/>
    <sheet name="Summary Export" sheetId="15" r:id="rId13"/>
    <sheet name="Recon Log" sheetId="16" r:id="rId14"/>
    <sheet name="Activity Log" sheetId="18" r:id="rId15"/>
  </sheets>
  <definedNames>
    <definedName name="_xleta.VALUE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9" l="1"/>
  <c r="E3" i="9"/>
  <c r="E4" i="9"/>
  <c r="E5" i="9"/>
  <c r="E6" i="9"/>
  <c r="E7" i="9"/>
  <c r="E8" i="9"/>
  <c r="E9" i="9"/>
  <c r="E10" i="9"/>
  <c r="E11" i="9"/>
  <c r="I2" i="15"/>
</calcChain>
</file>

<file path=xl/sharedStrings.xml><?xml version="1.0" encoding="utf-8"?>
<sst xmlns="http://schemas.openxmlformats.org/spreadsheetml/2006/main" count="317" uniqueCount="130">
  <si>
    <t xml:space="preserve"> Sheet1 ID Column </t>
  </si>
  <si>
    <t xml:space="preserve"> Sheet2 ID Column </t>
  </si>
  <si>
    <t xml:space="preserve"> Sheet1 Value Columns </t>
  </si>
  <si>
    <t xml:space="preserve"> Sheet2 Value Columns </t>
  </si>
  <si>
    <t>ID</t>
  </si>
  <si>
    <t>Value</t>
  </si>
  <si>
    <t>Setting</t>
  </si>
  <si>
    <t>Field1</t>
  </si>
  <si>
    <t>Field2</t>
  </si>
  <si>
    <t>Field3</t>
  </si>
  <si>
    <t>lorem</t>
  </si>
  <si>
    <t>ipsum</t>
  </si>
  <si>
    <t>dolor</t>
  </si>
  <si>
    <t>Sheet1 Total</t>
  </si>
  <si>
    <t>Sheet2 Total</t>
  </si>
  <si>
    <t>Difference</t>
  </si>
  <si>
    <t>IsMatch</t>
  </si>
  <si>
    <t>Transform Name</t>
  </si>
  <si>
    <t>Source Sheet</t>
  </si>
  <si>
    <t>Target Sheet</t>
  </si>
  <si>
    <t>Export</t>
  </si>
  <si>
    <t>Order</t>
  </si>
  <si>
    <t>Target Column</t>
  </si>
  <si>
    <t>Type</t>
  </si>
  <si>
    <t>Source</t>
  </si>
  <si>
    <t>Existing</t>
  </si>
  <si>
    <t>Amount</t>
  </si>
  <si>
    <t>Static</t>
  </si>
  <si>
    <t>Priority</t>
  </si>
  <si>
    <t>Formula</t>
  </si>
  <si>
    <t>Export_Matches</t>
  </si>
  <si>
    <t>Match Results</t>
  </si>
  <si>
    <t>Description</t>
  </si>
  <si>
    <t>Amount needed to be adjusted</t>
  </si>
  <si>
    <t>IF([@Amount]&gt;100,"HIGH","LOW")</t>
  </si>
  <si>
    <t>Value-Plus,-Value-Minus</t>
  </si>
  <si>
    <t>Value-Plus</t>
  </si>
  <si>
    <t>Value-Minus</t>
  </si>
  <si>
    <t>Tolerance</t>
  </si>
  <si>
    <t>ParentID</t>
  </si>
  <si>
    <t>A1</t>
  </si>
  <si>
    <t>A2</t>
  </si>
  <si>
    <t>Sheet1 Additional Columns</t>
  </si>
  <si>
    <t>Detail Sheet</t>
  </si>
  <si>
    <t>Sheet2</t>
  </si>
  <si>
    <t>Sheet2 Additional Columns</t>
  </si>
  <si>
    <t>Column1</t>
  </si>
  <si>
    <t>Value-Plus,Value-Minus,Field1,Field2,Field3</t>
  </si>
  <si>
    <t>Sort Order</t>
  </si>
  <si>
    <t>ParentID,ID</t>
  </si>
  <si>
    <t>Logging</t>
  </si>
  <si>
    <t>Create new sheets</t>
  </si>
  <si>
    <t>workflows - ability to create multiple configs for summary and detail, summary-summary, create new export or use existing</t>
  </si>
  <si>
    <t>schemas to verify if loaded files match expected</t>
  </si>
  <si>
    <t>Workflow Name</t>
  </si>
  <si>
    <t>Recon Config Sheet</t>
  </si>
  <si>
    <t>Transform Config Sheet</t>
  </si>
  <si>
    <t>Result Sheet Prefix</t>
  </si>
  <si>
    <t>Default</t>
  </si>
  <si>
    <t>Recon Config</t>
  </si>
  <si>
    <t>Summary Comparison</t>
  </si>
  <si>
    <t>Standard comparison with 1 sheet that is summary level, with unique ID per row and another transaction-level sheet that is not unique</t>
  </si>
  <si>
    <t>Many-to-many comparison of detail items. As such, the results produced will always be a comparison of summary level totals</t>
  </si>
  <si>
    <t>Transform Config</t>
  </si>
  <si>
    <t>Summary</t>
  </si>
  <si>
    <t>Transform Config - Summary</t>
  </si>
  <si>
    <t>Recon Config - Summary</t>
  </si>
  <si>
    <t>Sheet1 ID Column</t>
  </si>
  <si>
    <t>Sheet2 ID Column</t>
  </si>
  <si>
    <t>Sheet1 Value Columns</t>
  </si>
  <si>
    <t>Sheet2 Value Columns</t>
  </si>
  <si>
    <t>+Debits,-Credits</t>
  </si>
  <si>
    <t>Region,Department</t>
  </si>
  <si>
    <t>AccountCode,Source</t>
  </si>
  <si>
    <t>Difference DESC,ID</t>
  </si>
  <si>
    <t>Region</t>
  </si>
  <si>
    <t>Department</t>
  </si>
  <si>
    <t>AccountCode</t>
  </si>
  <si>
    <t>Status</t>
  </si>
  <si>
    <t>IF(ABS([@Difference])&lt;0.02,"OK","REVIEW")</t>
  </si>
  <si>
    <t>Export_Summary_Matches</t>
  </si>
  <si>
    <t>Summary Export</t>
  </si>
  <si>
    <t>B1</t>
  </si>
  <si>
    <t>B2</t>
  </si>
  <si>
    <t>C1</t>
  </si>
  <si>
    <t>C2</t>
  </si>
  <si>
    <t>sit</t>
  </si>
  <si>
    <t>amet</t>
  </si>
  <si>
    <t>consectetur</t>
  </si>
  <si>
    <t>adipiscing</t>
  </si>
  <si>
    <t>elit</t>
  </si>
  <si>
    <t>sed</t>
  </si>
  <si>
    <t>do</t>
  </si>
  <si>
    <t>eiusmod</t>
  </si>
  <si>
    <t>tempor</t>
  </si>
  <si>
    <t>incididunt</t>
  </si>
  <si>
    <t>ut</t>
  </si>
  <si>
    <t>labore</t>
  </si>
  <si>
    <t>et</t>
  </si>
  <si>
    <t>dolore</t>
  </si>
  <si>
    <t>magna</t>
  </si>
  <si>
    <t>East</t>
  </si>
  <si>
    <t>Sales</t>
  </si>
  <si>
    <t>West</t>
  </si>
  <si>
    <t>Marketing</t>
  </si>
  <si>
    <t>North</t>
  </si>
  <si>
    <t>Operations</t>
  </si>
  <si>
    <t>South</t>
  </si>
  <si>
    <t>Finance</t>
  </si>
  <si>
    <t>Timestamp</t>
  </si>
  <si>
    <t>Workflow</t>
  </si>
  <si>
    <t>Total Records</t>
  </si>
  <si>
    <t>Matches</t>
  </si>
  <si>
    <t>Errors</t>
  </si>
  <si>
    <t>Detail Mode</t>
  </si>
  <si>
    <t>User</t>
  </si>
  <si>
    <t>SHEET2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</si>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</sst>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0" fontId="0" fillId="3" borderId="0" xfId="0" applyFill="1"/>
    <xf numFmtId="4" fontId="0" fillId="3" borderId="0" xfId="0" applyNumberFormat="1" applyFill="1"/>
    <xf numFmtId="4" fontId="0" fillId="0" borderId="0" xfId="0" applyNumberFormat="1"/>
    <xf numFmtId="168" fontId="1" fillId="2" borderId="0" xfId="0" applyNumberFormat="1" applyFont="1" applyFill="1"/>
  </cellXfs>
  <cellStyles count="1">
    <cellStyle name="Normal" xfId="0" builtinId="0"/>
  </cellStyles>
  <dxfs count="19">
    <dxf>
      <numFmt numFmtId="168" formatCode="yyyy\-mm\-dd\ hh:mm:ss"/>
    </dxf>
    <dxf>
      <numFmt numFmtId="0" formatCode="General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168" formatCode="yyyy\-mm\-dd\ hh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D0A5EEF3-806C-4511-99F8-3A5CE7649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1</xdr:row>
          <xdr:rowOff>22860</xdr:rowOff>
        </xdr:from>
        <xdr:to>
          <xdr:col>7</xdr:col>
          <xdr:colOff>601980</xdr:colOff>
          <xdr:row>4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A9AA00B9-159E-23B5-E144-7D1442BE9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1</xdr:row>
          <xdr:rowOff>22860</xdr:rowOff>
        </xdr:from>
        <xdr:to>
          <xdr:col>7</xdr:col>
          <xdr:colOff>601980</xdr:colOff>
          <xdr:row>4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133DB2E3-9DCA-4037-921D-01E0047BB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E3" totalsRowShown="0">
  <autoFilter ref="A1:E3" xr:uid="{0D5CB000-ED62-441A-9753-2EEACC34621D}"/>
  <tableColumns count="5">
    <tableColumn id="1" xr3:uid="{2CD75CB4-B4FB-4F00-8D16-88E466813EF2}" name="Workflow Name"/>
    <tableColumn id="2" xr3:uid="{DFC0575D-9665-46D4-943F-EE74D7E1328F}" name="Recon Config Sheet"/>
    <tableColumn id="3" xr3:uid="{E914D421-5DC5-454A-B55B-A8B625E1830A}" name="Transform Config Sheet"/>
    <tableColumn id="4" xr3:uid="{957FEC6B-8EE8-40F6-9263-A6868FD910F9}" name="Result Sheet Prefix"/>
    <tableColumn id="5" xr3:uid="{C5A822E3-D262-4527-891E-D758CC7DA721}" name="Description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B11" totalsRowShown="0">
  <autoFilter ref="A1:B11" xr:uid="{E30DB9FC-46B6-4658-AFB8-DF25777769FF}"/>
  <tableColumns count="2">
    <tableColumn id="1" xr3:uid="{5FAC4FBB-B6AC-44D5-B30C-907DDFB769B8}" name="Setting"/>
    <tableColumn id="2" xr3:uid="{09AC9202-6B07-40A8-BFFC-88519053ED12}" name="Valu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B11" totalsRowShown="0">
  <autoFilter ref="A1:B11" xr:uid="{E30DB9FC-46B6-4658-AFB8-DF25777769FF}"/>
  <tableColumns count="2">
    <tableColumn id="1" xr3:uid="{344FCB07-A995-4110-A809-03B8EF12A874}" name="Setting"/>
    <tableColumn id="2" xr3:uid="{0BE9531F-3678-4582-862F-551A1570D0C9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1F42EF7-110B-4FCB-86DB-B7B94EBB6B96}" name="ReconResultsTable" displayName="ReconResultsTable" ref="A1:F8" totalsRowShown="0" headerRowDxfId="12">
  <autoFilter ref="A1:F8" xr:uid="{01F42EF7-110B-4FCB-86DB-B7B94EBB6B96}"/>
  <tableColumns count="6">
    <tableColumn id="1" xr3:uid="{DFA83BF2-1C50-484A-AEAE-B4E8F9559372}" name="IsMatch"/>
    <tableColumn id="2" xr3:uid="{FEC91769-B174-453C-A465-6553DB2847BC}" name="Difference" dataDxfId="15"/>
    <tableColumn id="3" xr3:uid="{D10CCA9C-E96D-4842-9609-0EDBA73B637A}" name="ID"/>
    <tableColumn id="4" xr3:uid="{9C803C19-3685-4F27-941C-3D9D1829CCF2}" name="Sheet1 Total" dataDxfId="14"/>
    <tableColumn id="5" xr3:uid="{6D3C9795-6B55-4A73-8706-B4DE3AB87691}" name="Sheet2 Total" dataDxfId="13"/>
    <tableColumn id="6" xr3:uid="{44E3042A-9B49-47CB-9CEA-DCA82E0DF289}" name="Parent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47AE9174-A54E-4328-BA92-ED4C718BC0B7}" name="MatchResultsTable" displayName="MatchResultsTable" ref="A1:I11" totalsRowShown="0" headerRowDxfId="11">
  <autoFilter ref="A1:I11" xr:uid="{47AE9174-A54E-4328-BA92-ED4C718BC0B7}"/>
  <tableColumns count="9">
    <tableColumn id="1" xr3:uid="{6B795A93-F927-49A4-980A-170B4C80F7CD}" name="ID"/>
    <tableColumn id="2" xr3:uid="{A8786B19-243D-4D5D-A633-D9B4775D928D}" name="Value-Plus"/>
    <tableColumn id="3" xr3:uid="{75F0AD50-318C-42AA-878D-D25C42C825E1}" name="Value-Minus"/>
    <tableColumn id="4" xr3:uid="{5B119DDA-DDDE-4E6E-8A16-4BD7EF24FE97}" name="Field1"/>
    <tableColumn id="5" xr3:uid="{9308F720-C04F-4D22-A782-C614759999FE}" name="Field2"/>
    <tableColumn id="6" xr3:uid="{D2126597-92D1-49B1-8DB4-430028A877D7}" name="Field3"/>
    <tableColumn id="7" xr3:uid="{C15451A1-072E-467D-BB85-89F6283B1CA8}" name="Sheet1 Total" dataDxfId="10"/>
    <tableColumn id="8" xr3:uid="{99A9D7B3-7F65-4A11-AB7E-E743E9583B74}" name="Sheet2 Total" dataDxfId="9"/>
    <tableColumn id="9" xr3:uid="{589C97DD-F393-45EE-B25D-8B122A491EBF}" name="ParentID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9D6C49FA-B9B0-43AA-81BB-7989FAA1D679}" name="ErrorResultsTable" displayName="ErrorResultsTable" ref="A1:E2" totalsRowShown="0" headerRowDxfId="7" dataDxfId="8">
  <autoFilter ref="A1:E2" xr:uid="{9D6C49FA-B9B0-43AA-81BB-7989FAA1D679}"/>
  <tableColumns count="5">
    <tableColumn id="1" xr3:uid="{F9804EF5-8762-4319-A0F3-2A6D1707A4D4}" name="Difference" dataDxfId="6"/>
    <tableColumn id="2" xr3:uid="{4E7558ED-91AD-44D0-BB4D-DDF1255C1AA0}" name="ID" dataDxfId="5"/>
    <tableColumn id="3" xr3:uid="{4898BEA6-5899-4F31-9BD7-C8895D2D6FDE}" name="Sheet1 Total" dataDxfId="4"/>
    <tableColumn id="4" xr3:uid="{ED363B47-0E90-4B54-B4BD-C9204A510083}" name="Sheet2 Total" dataDxfId="2"/>
    <tableColumn id="5" xr3:uid="{03B605EB-D648-4675-802F-8B8B78345051}" name="ParentID" dataDxfId="3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D526D643-F744-40A9-981F-21A71570B526}" name="Table38" displayName="Table38" ref="A1:E11" totalsRowShown="0">
  <autoFilter ref="A1:E11" xr:uid="{D526D643-F744-40A9-981F-21A71570B526}"/>
  <tableColumns count="5">
    <tableColumn id="1" xr3:uid="{B6F081E6-F1DB-466C-931B-C96F4B0A2444}" name="ParentID"/>
    <tableColumn id="2" xr3:uid="{7398FAF2-0F90-42F9-A728-C7E3FEB8969B}" name="ID"/>
    <tableColumn id="3" xr3:uid="{025010C3-1AFE-4D16-90A6-912E6945DE03}" name="Amount"/>
    <tableColumn id="4" xr3:uid="{33440815-6A96-4166-AF6E-A042353E4513}" name="Description"/>
    <tableColumn id="5" xr3:uid="{42C921E7-6B6F-435C-98ED-44536627EEE1}" name="Priority" dataDxfId="1">
      <calculatedColumnFormula>IF(Table38[[#This Row],[Amount]]&gt;100,"HIGH","LOW")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D3398F9-ED62-423D-9A8F-53C0ED0C88B9}" name="Table20" displayName="Table20" ref="A1:H6" totalsRowShown="0">
  <autoFilter ref="A1:H6" xr:uid="{7D3398F9-ED62-423D-9A8F-53C0ED0C88B9}"/>
  <tableColumns count="8">
    <tableColumn id="1" xr3:uid="{00A6A18B-2327-4D1E-B7C8-6303AAB3B1D2}" name="Column1"/>
    <tableColumn id="2" xr3:uid="{3F4F4538-497D-4CBF-98CF-226BA5BF7E2D}" name="Region"/>
    <tableColumn id="3" xr3:uid="{48E6F9BF-FB82-473F-AC0F-0FDEDEFD8233}" name="Department"/>
    <tableColumn id="4" xr3:uid="{4E0E57B4-BE4F-44F9-B6AA-870D2054E37F}" name="AccountCode"/>
    <tableColumn id="5" xr3:uid="{1E2A7BD2-73CC-4C8F-AD71-AC9DE04D7BA0}" name="Source"/>
    <tableColumn id="6" xr3:uid="{178CF135-2802-4AD6-BACC-FAE533E04234}" name="Sheet1 Total"/>
    <tableColumn id="7" xr3:uid="{3E216DBC-96EE-4953-BEC2-9795935D578D}" name="Sheet2 Total"/>
    <tableColumn id="8" xr3:uid="{5D0C887C-F07C-4075-9FD0-36EB5BD8656D}" name="Differe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F8FB19A-6E06-4EDC-9DBB-8A6907D4D1BF}" name="ReconLogTable" displayName="ReconLogTable" ref="A1:I3" totalsRowShown="0" headerRowDxfId="18">
  <autoFilter ref="A1:I3" xr:uid="{CF8FB19A-6E06-4EDC-9DBB-8A6907D4D1BF}"/>
  <tableColumns count="9">
    <tableColumn id="1" xr3:uid="{03055639-CA33-4B5C-9B6A-312D5AFF1023}" name="Timestamp" dataDxfId="17"/>
    <tableColumn id="2" xr3:uid="{7121655A-4146-4828-8049-925A9A8EAAD0}" name="Workflow"/>
    <tableColumn id="3" xr3:uid="{E553357F-1295-44AB-9CE0-DC2DCE532804}" name="Recon Config"/>
    <tableColumn id="4" xr3:uid="{A8B47FA3-EF35-43CD-B86E-B1081AAA97D8}" name="Total Records"/>
    <tableColumn id="5" xr3:uid="{9D8081B8-3B48-4B55-B543-BD4369296552}" name="Matches"/>
    <tableColumn id="6" xr3:uid="{D9352A51-1C3E-4FC9-A769-730B0E98393E}" name="Errors"/>
    <tableColumn id="7" xr3:uid="{38EFAB71-A0C8-4B55-8940-CA4E0A8E934F}" name="Tolerance"/>
    <tableColumn id="8" xr3:uid="{C82D83DC-0A05-4F76-883A-9C658B38E676}" name="Detail Mode"/>
    <tableColumn id="9" xr3:uid="{C8D3DABA-801B-460F-B3C8-F7BDE640AEB8}" name="User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5" totalsRowShown="0" headerRowDxfId="16">
  <autoFilter ref="A1:G5" xr:uid="{DB7B2E8A-BF7A-4C0E-AAE0-978BC32CA210}"/>
  <tableColumns count="7">
    <tableColumn id="1" xr3:uid="{86057603-0B59-4727-B9F1-402FC57F3ADD}" name="Timestamp" dataDxfId="0"/>
    <tableColumn id="2" xr3:uid="{407CBD76-E900-4369-B500-2462E84AD2F2}" name="Operation"/>
    <tableColumn id="3" xr3:uid="{0F131029-F39E-4AC2-B463-D1D9E5626947}" name="Workflow"/>
    <tableColumn id="4" xr3:uid="{D5CE1952-DF24-4666-B97F-4075EE416DB3}" name="Details"/>
    <tableColumn id="5" xr3:uid="{543A8991-CDDC-4C9E-B81B-17ECAEB28DFE}" name="Status"/>
    <tableColumn id="6" xr3:uid="{CF2B62BD-8429-4C59-A817-109A9F6D4BBB}" name="Records"/>
    <tableColumn id="7" xr3:uid="{3F5609B9-709E-4A2A-8885-1708EF552567}" name="Us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4"/>
  <sheetViews>
    <sheetView workbookViewId="0"/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50</v>
      </c>
    </row>
    <row r="2" spans="1:1" x14ac:dyDescent="0.55000000000000004">
      <c r="A2" t="s">
        <v>51</v>
      </c>
    </row>
    <row r="3" spans="1:1" x14ac:dyDescent="0.55000000000000004">
      <c r="A3" t="s">
        <v>52</v>
      </c>
    </row>
    <row r="4" spans="1:1" x14ac:dyDescent="0.55000000000000004">
      <c r="A4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E3"/>
  <sheetViews>
    <sheetView workbookViewId="0"/>
  </sheetViews>
  <sheetFormatPr defaultRowHeight="14.4" x14ac:dyDescent="0.55000000000000004"/>
  <cols>
    <col min="1" max="1" width="18.05078125" bestFit="1" customWidth="1"/>
    <col min="2" max="2" width="24.3671875" bestFit="1" customWidth="1"/>
    <col min="3" max="3" width="22.7890625" bestFit="1" customWidth="1"/>
    <col min="4" max="4" width="19.68359375" bestFit="1" customWidth="1"/>
    <col min="5" max="5" width="104.62890625" bestFit="1" customWidth="1"/>
  </cols>
  <sheetData>
    <row r="1" spans="1:5" x14ac:dyDescent="0.55000000000000004">
      <c r="A1" t="s">
        <v>54</v>
      </c>
      <c r="B1" t="s">
        <v>55</v>
      </c>
      <c r="C1" t="s">
        <v>56</v>
      </c>
      <c r="D1" t="s">
        <v>57</v>
      </c>
      <c r="E1" t="s">
        <v>32</v>
      </c>
    </row>
    <row r="2" spans="1:5" x14ac:dyDescent="0.55000000000000004">
      <c r="A2" t="s">
        <v>58</v>
      </c>
      <c r="B2" t="s">
        <v>59</v>
      </c>
      <c r="C2" t="s">
        <v>63</v>
      </c>
      <c r="E2" t="s">
        <v>61</v>
      </c>
    </row>
    <row r="3" spans="1:5" x14ac:dyDescent="0.55000000000000004">
      <c r="A3" t="s">
        <v>60</v>
      </c>
      <c r="B3" t="s">
        <v>66</v>
      </c>
      <c r="C3" t="s">
        <v>65</v>
      </c>
      <c r="D3" t="s">
        <v>64</v>
      </c>
      <c r="E3" t="s">
        <v>62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B10"/>
  <sheetViews>
    <sheetView workbookViewId="0">
      <selection activeCell="B6" sqref="B6"/>
    </sheetView>
  </sheetViews>
  <sheetFormatPr defaultRowHeight="14.4" x14ac:dyDescent="0.55000000000000004"/>
  <cols>
    <col min="1" max="1" width="22" bestFit="1" customWidth="1"/>
    <col min="2" max="2" width="36.1015625" bestFit="1" customWidth="1"/>
  </cols>
  <sheetData>
    <row r="1" spans="1:2" x14ac:dyDescent="0.55000000000000004">
      <c r="A1" t="s">
        <v>6</v>
      </c>
      <c r="B1" t="s">
        <v>5</v>
      </c>
    </row>
    <row r="2" spans="1:2" x14ac:dyDescent="0.55000000000000004">
      <c r="A2" t="s">
        <v>38</v>
      </c>
      <c r="B2">
        <v>0.03</v>
      </c>
    </row>
    <row r="3" spans="1:2" x14ac:dyDescent="0.55000000000000004">
      <c r="A3" t="s">
        <v>0</v>
      </c>
      <c r="B3" t="s">
        <v>4</v>
      </c>
    </row>
    <row r="4" spans="1:2" x14ac:dyDescent="0.55000000000000004">
      <c r="A4" t="s">
        <v>1</v>
      </c>
      <c r="B4" t="s">
        <v>4</v>
      </c>
    </row>
    <row r="5" spans="1:2" x14ac:dyDescent="0.55000000000000004">
      <c r="A5" t="s">
        <v>2</v>
      </c>
      <c r="B5" t="s">
        <v>5</v>
      </c>
    </row>
    <row r="6" spans="1:2" x14ac:dyDescent="0.55000000000000004">
      <c r="A6" t="s">
        <v>3</v>
      </c>
      <c r="B6" t="s">
        <v>35</v>
      </c>
    </row>
    <row r="7" spans="1:2" x14ac:dyDescent="0.55000000000000004">
      <c r="A7" t="s">
        <v>43</v>
      </c>
      <c r="B7" t="s">
        <v>44</v>
      </c>
    </row>
    <row r="8" spans="1:2" x14ac:dyDescent="0.55000000000000004">
      <c r="A8" t="s">
        <v>42</v>
      </c>
      <c r="B8" t="s">
        <v>39</v>
      </c>
    </row>
    <row r="9" spans="1:2" x14ac:dyDescent="0.55000000000000004">
      <c r="A9" t="s">
        <v>45</v>
      </c>
      <c r="B9" t="s">
        <v>47</v>
      </c>
    </row>
    <row r="10" spans="1:2" x14ac:dyDescent="0.55000000000000004">
      <c r="A10" t="s">
        <v>48</v>
      </c>
      <c r="B10" t="s">
        <v>49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B9"/>
  <sheetViews>
    <sheetView workbookViewId="0">
      <selection activeCell="A4" sqref="A4"/>
    </sheetView>
  </sheetViews>
  <sheetFormatPr defaultRowHeight="14.4" x14ac:dyDescent="0.55000000000000004"/>
  <cols>
    <col min="1" max="1" width="22" bestFit="1" customWidth="1"/>
    <col min="2" max="2" width="36.1015625" bestFit="1" customWidth="1"/>
  </cols>
  <sheetData>
    <row r="1" spans="1:2" x14ac:dyDescent="0.55000000000000004">
      <c r="A1" t="s">
        <v>6</v>
      </c>
      <c r="B1" t="s">
        <v>5</v>
      </c>
    </row>
    <row r="2" spans="1:2" x14ac:dyDescent="0.55000000000000004">
      <c r="A2" t="s">
        <v>67</v>
      </c>
      <c r="B2" t="s">
        <v>4</v>
      </c>
    </row>
    <row r="3" spans="1:2" x14ac:dyDescent="0.55000000000000004">
      <c r="A3" t="s">
        <v>68</v>
      </c>
      <c r="B3" t="s">
        <v>4</v>
      </c>
    </row>
    <row r="4" spans="1:2" x14ac:dyDescent="0.55000000000000004">
      <c r="A4" t="s">
        <v>69</v>
      </c>
      <c r="B4" t="s">
        <v>26</v>
      </c>
    </row>
    <row r="5" spans="1:2" x14ac:dyDescent="0.55000000000000004">
      <c r="A5" t="s">
        <v>70</v>
      </c>
      <c r="B5" t="s">
        <v>71</v>
      </c>
    </row>
    <row r="6" spans="1:2" x14ac:dyDescent="0.55000000000000004">
      <c r="A6" t="s">
        <v>42</v>
      </c>
      <c r="B6" t="s">
        <v>72</v>
      </c>
    </row>
    <row r="7" spans="1:2" x14ac:dyDescent="0.55000000000000004">
      <c r="A7" t="s">
        <v>45</v>
      </c>
      <c r="B7" t="s">
        <v>73</v>
      </c>
    </row>
    <row r="8" spans="1:2" x14ac:dyDescent="0.55000000000000004">
      <c r="A8" t="s">
        <v>38</v>
      </c>
      <c r="B8">
        <v>0.01</v>
      </c>
    </row>
    <row r="9" spans="1:2" x14ac:dyDescent="0.55000000000000004">
      <c r="A9" t="s">
        <v>48</v>
      </c>
      <c r="B9" t="s">
        <v>74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9"/>
  <sheetViews>
    <sheetView workbookViewId="0">
      <selection activeCell="B4" sqref="B4"/>
    </sheetView>
  </sheetViews>
  <sheetFormatPr defaultRowHeight="14.4" x14ac:dyDescent="0.55000000000000004"/>
  <cols>
    <col min="1" max="1" width="13.62890625" bestFit="1" customWidth="1"/>
    <col min="2" max="2" width="1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17</v>
      </c>
      <c r="B1" t="s">
        <v>18</v>
      </c>
      <c r="C1" t="s">
        <v>19</v>
      </c>
    </row>
    <row r="2" spans="1:4" x14ac:dyDescent="0.55000000000000004">
      <c r="A2" t="s">
        <v>30</v>
      </c>
      <c r="B2" t="s">
        <v>31</v>
      </c>
      <c r="C2" t="s">
        <v>20</v>
      </c>
    </row>
    <row r="4" spans="1:4" x14ac:dyDescent="0.55000000000000004">
      <c r="A4" t="s">
        <v>21</v>
      </c>
      <c r="B4" t="s">
        <v>22</v>
      </c>
      <c r="C4" t="s">
        <v>23</v>
      </c>
      <c r="D4" t="s">
        <v>24</v>
      </c>
    </row>
    <row r="5" spans="1:4" x14ac:dyDescent="0.55000000000000004">
      <c r="A5">
        <v>1</v>
      </c>
      <c r="B5" t="s">
        <v>39</v>
      </c>
      <c r="C5" t="s">
        <v>25</v>
      </c>
      <c r="D5" t="s">
        <v>39</v>
      </c>
    </row>
    <row r="6" spans="1:4" x14ac:dyDescent="0.55000000000000004">
      <c r="A6">
        <v>2</v>
      </c>
      <c r="B6" t="s">
        <v>4</v>
      </c>
      <c r="C6" t="s">
        <v>25</v>
      </c>
      <c r="D6" t="s">
        <v>4</v>
      </c>
    </row>
    <row r="7" spans="1:4" x14ac:dyDescent="0.55000000000000004">
      <c r="A7">
        <v>3</v>
      </c>
      <c r="B7" t="s">
        <v>26</v>
      </c>
      <c r="C7" t="s">
        <v>25</v>
      </c>
      <c r="D7" t="s">
        <v>13</v>
      </c>
    </row>
    <row r="8" spans="1:4" x14ac:dyDescent="0.55000000000000004">
      <c r="A8">
        <v>4</v>
      </c>
      <c r="B8" t="s">
        <v>32</v>
      </c>
      <c r="C8" t="s">
        <v>27</v>
      </c>
      <c r="D8" t="s">
        <v>33</v>
      </c>
    </row>
    <row r="9" spans="1:4" x14ac:dyDescent="0.55000000000000004">
      <c r="A9">
        <v>5</v>
      </c>
      <c r="B9" t="s">
        <v>28</v>
      </c>
      <c r="C9" t="s">
        <v>29</v>
      </c>
      <c r="D9" t="s">
        <v>34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6</xdr:col>
                    <xdr:colOff>53340</xdr:colOff>
                    <xdr:row>1</xdr:row>
                    <xdr:rowOff>22860</xdr:rowOff>
                  </from>
                  <to>
                    <xdr:col>7</xdr:col>
                    <xdr:colOff>601980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910FB-E40F-457D-83BE-BBD240408DC4}">
  <sheetPr codeName="Sheet11"/>
  <dimension ref="A1:D12"/>
  <sheetViews>
    <sheetView workbookViewId="0">
      <selection activeCell="D15" sqref="D15"/>
    </sheetView>
  </sheetViews>
  <sheetFormatPr defaultRowHeight="14.4" x14ac:dyDescent="0.55000000000000004"/>
  <cols>
    <col min="1" max="1" width="21.41796875" bestFit="1" customWidth="1"/>
    <col min="2" max="2" width="12.05078125" bestFit="1" customWidth="1"/>
    <col min="3" max="3" width="13.41796875" bestFit="1" customWidth="1"/>
    <col min="4" max="4" width="14" bestFit="1" customWidth="1"/>
  </cols>
  <sheetData>
    <row r="1" spans="1:4" x14ac:dyDescent="0.55000000000000004">
      <c r="A1" t="s">
        <v>17</v>
      </c>
      <c r="B1" t="s">
        <v>18</v>
      </c>
      <c r="C1" t="s">
        <v>19</v>
      </c>
    </row>
    <row r="2" spans="1:4" x14ac:dyDescent="0.55000000000000004">
      <c r="A2" t="s">
        <v>80</v>
      </c>
      <c r="B2" t="s">
        <v>31</v>
      </c>
      <c r="C2" t="s">
        <v>81</v>
      </c>
    </row>
    <row r="4" spans="1:4" x14ac:dyDescent="0.55000000000000004">
      <c r="A4">
        <v>1</v>
      </c>
      <c r="B4" t="s">
        <v>4</v>
      </c>
      <c r="C4" t="s">
        <v>25</v>
      </c>
      <c r="D4" t="s">
        <v>4</v>
      </c>
    </row>
    <row r="5" spans="1:4" x14ac:dyDescent="0.55000000000000004">
      <c r="A5">
        <v>2</v>
      </c>
      <c r="B5" t="s">
        <v>75</v>
      </c>
      <c r="C5" t="s">
        <v>25</v>
      </c>
      <c r="D5" t="s">
        <v>75</v>
      </c>
    </row>
    <row r="6" spans="1:4" x14ac:dyDescent="0.55000000000000004">
      <c r="A6">
        <v>3</v>
      </c>
      <c r="B6" t="s">
        <v>76</v>
      </c>
      <c r="C6" t="s">
        <v>25</v>
      </c>
      <c r="D6" t="s">
        <v>76</v>
      </c>
    </row>
    <row r="7" spans="1:4" x14ac:dyDescent="0.55000000000000004">
      <c r="A7">
        <v>4</v>
      </c>
      <c r="B7" t="s">
        <v>77</v>
      </c>
      <c r="C7" t="s">
        <v>25</v>
      </c>
      <c r="D7" t="s">
        <v>77</v>
      </c>
    </row>
    <row r="8" spans="1:4" x14ac:dyDescent="0.55000000000000004">
      <c r="A8">
        <v>5</v>
      </c>
      <c r="B8" t="s">
        <v>24</v>
      </c>
      <c r="C8" t="s">
        <v>25</v>
      </c>
      <c r="D8" t="s">
        <v>24</v>
      </c>
    </row>
    <row r="9" spans="1:4" x14ac:dyDescent="0.55000000000000004">
      <c r="A9">
        <v>6</v>
      </c>
      <c r="B9" t="s">
        <v>13</v>
      </c>
      <c r="C9" t="s">
        <v>25</v>
      </c>
      <c r="D9" t="s">
        <v>13</v>
      </c>
    </row>
    <row r="10" spans="1:4" x14ac:dyDescent="0.55000000000000004">
      <c r="A10">
        <v>7</v>
      </c>
      <c r="B10" t="s">
        <v>14</v>
      </c>
      <c r="C10" t="s">
        <v>25</v>
      </c>
      <c r="D10" t="s">
        <v>14</v>
      </c>
    </row>
    <row r="11" spans="1:4" x14ac:dyDescent="0.55000000000000004">
      <c r="A11">
        <v>8</v>
      </c>
      <c r="B11" t="s">
        <v>15</v>
      </c>
      <c r="C11" t="s">
        <v>25</v>
      </c>
      <c r="D11" t="s">
        <v>15</v>
      </c>
    </row>
    <row r="12" spans="1:4" x14ac:dyDescent="0.55000000000000004">
      <c r="A12">
        <v>9</v>
      </c>
      <c r="B12" t="s">
        <v>78</v>
      </c>
      <c r="C12" t="s">
        <v>29</v>
      </c>
      <c r="D12" t="s">
        <v>79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ShowReconForm">
                <anchor moveWithCells="1" sizeWithCells="1">
                  <from>
                    <xdr:col>6</xdr:col>
                    <xdr:colOff>53340</xdr:colOff>
                    <xdr:row>1</xdr:row>
                    <xdr:rowOff>22860</xdr:rowOff>
                  </from>
                  <to>
                    <xdr:col>7</xdr:col>
                    <xdr:colOff>601980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C7"/>
  <sheetViews>
    <sheetView workbookViewId="0">
      <selection sqref="A1:F5"/>
    </sheetView>
  </sheetViews>
  <sheetFormatPr defaultRowHeight="14.4" x14ac:dyDescent="0.55000000000000004"/>
  <sheetData>
    <row r="1" spans="1:3" x14ac:dyDescent="0.55000000000000004">
      <c r="A1" t="s">
        <v>4</v>
      </c>
      <c r="B1" t="s">
        <v>5</v>
      </c>
      <c r="C1" t="s">
        <v>39</v>
      </c>
    </row>
    <row r="2" spans="1:3" x14ac:dyDescent="0.55000000000000004">
      <c r="A2">
        <v>1</v>
      </c>
      <c r="B2">
        <v>100</v>
      </c>
      <c r="C2" t="s">
        <v>40</v>
      </c>
    </row>
    <row r="3" spans="1:3" x14ac:dyDescent="0.55000000000000004">
      <c r="A3">
        <v>2</v>
      </c>
      <c r="B3">
        <v>200</v>
      </c>
      <c r="C3" t="s">
        <v>41</v>
      </c>
    </row>
    <row r="4" spans="1:3" x14ac:dyDescent="0.55000000000000004">
      <c r="A4">
        <v>3</v>
      </c>
      <c r="B4">
        <v>150.5</v>
      </c>
      <c r="C4" t="s">
        <v>82</v>
      </c>
    </row>
    <row r="5" spans="1:3" x14ac:dyDescent="0.55000000000000004">
      <c r="A5">
        <v>4</v>
      </c>
      <c r="B5">
        <v>75.25</v>
      </c>
      <c r="C5" t="s">
        <v>83</v>
      </c>
    </row>
    <row r="6" spans="1:3" x14ac:dyDescent="0.55000000000000004">
      <c r="A6">
        <v>5</v>
      </c>
      <c r="B6">
        <v>300</v>
      </c>
      <c r="C6" t="s">
        <v>84</v>
      </c>
    </row>
    <row r="7" spans="1:3" x14ac:dyDescent="0.55000000000000004">
      <c r="A7">
        <v>6</v>
      </c>
      <c r="B7">
        <v>125</v>
      </c>
      <c r="C7" t="s">
        <v>85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13"/>
  <sheetViews>
    <sheetView workbookViewId="0">
      <selection activeCell="D1" sqref="D1"/>
    </sheetView>
  </sheetViews>
  <sheetFormatPr defaultRowHeight="14.4" x14ac:dyDescent="0.55000000000000004"/>
  <sheetData>
    <row r="1" spans="1:6" x14ac:dyDescent="0.55000000000000004">
      <c r="A1" t="s">
        <v>4</v>
      </c>
      <c r="B1" t="s">
        <v>36</v>
      </c>
      <c r="C1" t="s">
        <v>37</v>
      </c>
      <c r="D1" t="s">
        <v>7</v>
      </c>
      <c r="E1" t="s">
        <v>8</v>
      </c>
      <c r="F1" t="s">
        <v>9</v>
      </c>
    </row>
    <row r="2" spans="1:6" x14ac:dyDescent="0.55000000000000004">
      <c r="A2">
        <v>1</v>
      </c>
      <c r="B2">
        <v>100</v>
      </c>
      <c r="C2">
        <v>0</v>
      </c>
      <c r="D2" t="s">
        <v>10</v>
      </c>
      <c r="E2" t="s">
        <v>11</v>
      </c>
      <c r="F2" t="s">
        <v>12</v>
      </c>
    </row>
    <row r="3" spans="1:6" x14ac:dyDescent="0.55000000000000004">
      <c r="A3">
        <v>2</v>
      </c>
      <c r="B3">
        <v>150</v>
      </c>
      <c r="C3">
        <v>0</v>
      </c>
      <c r="D3" t="s">
        <v>10</v>
      </c>
      <c r="E3" t="s">
        <v>11</v>
      </c>
      <c r="F3" t="s">
        <v>12</v>
      </c>
    </row>
    <row r="4" spans="1:6" x14ac:dyDescent="0.55000000000000004">
      <c r="A4">
        <v>2</v>
      </c>
      <c r="B4">
        <v>50</v>
      </c>
      <c r="C4">
        <v>0</v>
      </c>
      <c r="D4" t="s">
        <v>10</v>
      </c>
      <c r="E4" t="s">
        <v>11</v>
      </c>
      <c r="F4" t="s">
        <v>12</v>
      </c>
    </row>
    <row r="5" spans="1:6" x14ac:dyDescent="0.55000000000000004">
      <c r="A5">
        <v>3</v>
      </c>
      <c r="B5">
        <v>100.5</v>
      </c>
      <c r="C5">
        <v>0</v>
      </c>
      <c r="D5" t="s">
        <v>86</v>
      </c>
      <c r="E5" t="s">
        <v>87</v>
      </c>
      <c r="F5" t="s">
        <v>88</v>
      </c>
    </row>
    <row r="6" spans="1:6" x14ac:dyDescent="0.55000000000000004">
      <c r="A6">
        <v>3</v>
      </c>
      <c r="B6">
        <v>50.02</v>
      </c>
      <c r="C6">
        <v>0.02</v>
      </c>
      <c r="D6" t="s">
        <v>86</v>
      </c>
      <c r="E6" t="s">
        <v>87</v>
      </c>
      <c r="F6" t="s">
        <v>88</v>
      </c>
    </row>
    <row r="7" spans="1:6" x14ac:dyDescent="0.55000000000000004">
      <c r="A7">
        <v>4</v>
      </c>
      <c r="B7">
        <v>75.25</v>
      </c>
      <c r="C7">
        <v>0</v>
      </c>
      <c r="D7" t="s">
        <v>89</v>
      </c>
      <c r="E7" t="s">
        <v>90</v>
      </c>
      <c r="F7" t="s">
        <v>91</v>
      </c>
    </row>
    <row r="8" spans="1:6" x14ac:dyDescent="0.55000000000000004">
      <c r="A8">
        <v>5</v>
      </c>
      <c r="B8">
        <v>200</v>
      </c>
      <c r="C8">
        <v>0</v>
      </c>
      <c r="D8" t="s">
        <v>92</v>
      </c>
      <c r="E8" t="s">
        <v>93</v>
      </c>
      <c r="F8" t="s">
        <v>94</v>
      </c>
    </row>
    <row r="9" spans="1:6" x14ac:dyDescent="0.55000000000000004">
      <c r="A9">
        <v>5</v>
      </c>
      <c r="B9">
        <v>100</v>
      </c>
      <c r="C9">
        <v>0</v>
      </c>
      <c r="D9" t="s">
        <v>92</v>
      </c>
      <c r="E9" t="s">
        <v>93</v>
      </c>
      <c r="F9" t="s">
        <v>94</v>
      </c>
    </row>
    <row r="10" spans="1:6" x14ac:dyDescent="0.55000000000000004">
      <c r="A10">
        <v>6</v>
      </c>
      <c r="B10">
        <v>100</v>
      </c>
      <c r="C10">
        <v>0</v>
      </c>
      <c r="D10" t="s">
        <v>95</v>
      </c>
      <c r="E10" t="s">
        <v>96</v>
      </c>
      <c r="F10" t="s">
        <v>97</v>
      </c>
    </row>
    <row r="11" spans="1:6" x14ac:dyDescent="0.55000000000000004">
      <c r="A11">
        <v>6</v>
      </c>
      <c r="B11">
        <v>30</v>
      </c>
      <c r="C11">
        <v>5</v>
      </c>
      <c r="D11" t="s">
        <v>95</v>
      </c>
      <c r="E11" t="s">
        <v>96</v>
      </c>
      <c r="F11" t="s">
        <v>97</v>
      </c>
    </row>
    <row r="12" spans="1:6" x14ac:dyDescent="0.55000000000000004">
      <c r="A12">
        <v>7</v>
      </c>
      <c r="B12">
        <v>50</v>
      </c>
      <c r="C12">
        <v>0</v>
      </c>
      <c r="D12" t="s">
        <v>98</v>
      </c>
      <c r="E12" t="s">
        <v>99</v>
      </c>
      <c r="F12" t="s">
        <v>100</v>
      </c>
    </row>
    <row r="13" spans="1:6" x14ac:dyDescent="0.55000000000000004">
      <c r="A13">
        <v>7</v>
      </c>
      <c r="B13">
        <v>50</v>
      </c>
      <c r="C13">
        <v>0</v>
      </c>
      <c r="D13" t="s">
        <v>98</v>
      </c>
      <c r="E13" t="s">
        <v>99</v>
      </c>
      <c r="F13" t="s">
        <v>100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A5CA-6294-40D7-A7B4-D5A535AF61E3}">
  <sheetPr codeName="Sheet4"/>
  <dimension ref="A1:F8"/>
  <sheetViews>
    <sheetView workbookViewId="0"/>
  </sheetViews>
  <sheetFormatPr defaultRowHeight="14.4" x14ac:dyDescent="0.55000000000000004"/>
  <cols>
    <col min="1" max="1" width="9.3125" bestFit="1" customWidth="1"/>
    <col min="2" max="2" width="11.3125" bestFit="1" customWidth="1"/>
    <col min="3" max="3" width="4.7890625" bestFit="1" customWidth="1"/>
    <col min="4" max="5" width="12.9453125" bestFit="1" customWidth="1"/>
    <col min="6" max="6" width="9.9453125" bestFit="1" customWidth="1"/>
    <col min="7" max="7" width="12.578125" bestFit="1" customWidth="1"/>
    <col min="8" max="8" width="9.734375" bestFit="1" customWidth="1"/>
  </cols>
  <sheetData>
    <row r="1" spans="1:6" x14ac:dyDescent="0.55000000000000004">
      <c r="A1" s="1" t="s">
        <v>16</v>
      </c>
      <c r="B1" s="1" t="s">
        <v>15</v>
      </c>
      <c r="C1" s="1" t="s">
        <v>4</v>
      </c>
      <c r="D1" s="1" t="s">
        <v>13</v>
      </c>
      <c r="E1" s="1" t="s">
        <v>14</v>
      </c>
      <c r="F1" s="1" t="s">
        <v>39</v>
      </c>
    </row>
    <row r="2" spans="1:6" s="2" customFormat="1" x14ac:dyDescent="0.55000000000000004">
      <c r="A2" s="2" t="b">
        <v>0</v>
      </c>
      <c r="B2" s="3">
        <v>-100</v>
      </c>
      <c r="C2" s="2">
        <v>7</v>
      </c>
      <c r="D2" s="3">
        <v>0</v>
      </c>
      <c r="E2" s="3">
        <v>100</v>
      </c>
    </row>
    <row r="3" spans="1:6" x14ac:dyDescent="0.55000000000000004">
      <c r="A3" t="b">
        <v>1</v>
      </c>
      <c r="B3" s="4">
        <v>0</v>
      </c>
      <c r="C3">
        <v>1</v>
      </c>
      <c r="D3" s="4">
        <v>100</v>
      </c>
      <c r="E3" s="4">
        <v>100</v>
      </c>
      <c r="F3" t="s">
        <v>40</v>
      </c>
    </row>
    <row r="4" spans="1:6" x14ac:dyDescent="0.55000000000000004">
      <c r="A4" t="b">
        <v>1</v>
      </c>
      <c r="B4" s="4">
        <v>0</v>
      </c>
      <c r="C4">
        <v>2</v>
      </c>
      <c r="D4" s="4">
        <v>200</v>
      </c>
      <c r="E4" s="4">
        <v>200</v>
      </c>
      <c r="F4" t="s">
        <v>41</v>
      </c>
    </row>
    <row r="5" spans="1:6" x14ac:dyDescent="0.55000000000000004">
      <c r="A5" t="b">
        <v>1</v>
      </c>
      <c r="B5" s="4">
        <v>0</v>
      </c>
      <c r="C5">
        <v>3</v>
      </c>
      <c r="D5" s="4">
        <v>150.5</v>
      </c>
      <c r="E5" s="4">
        <v>150.5</v>
      </c>
      <c r="F5" t="s">
        <v>82</v>
      </c>
    </row>
    <row r="6" spans="1:6" x14ac:dyDescent="0.55000000000000004">
      <c r="A6" t="b">
        <v>1</v>
      </c>
      <c r="B6" s="4">
        <v>0</v>
      </c>
      <c r="C6">
        <v>4</v>
      </c>
      <c r="D6" s="4">
        <v>75.25</v>
      </c>
      <c r="E6" s="4">
        <v>75.25</v>
      </c>
      <c r="F6" t="s">
        <v>83</v>
      </c>
    </row>
    <row r="7" spans="1:6" x14ac:dyDescent="0.55000000000000004">
      <c r="A7" t="b">
        <v>1</v>
      </c>
      <c r="B7" s="4">
        <v>0</v>
      </c>
      <c r="C7">
        <v>5</v>
      </c>
      <c r="D7" s="4">
        <v>300</v>
      </c>
      <c r="E7" s="4">
        <v>300</v>
      </c>
      <c r="F7" t="s">
        <v>84</v>
      </c>
    </row>
    <row r="8" spans="1:6" x14ac:dyDescent="0.55000000000000004">
      <c r="A8" t="b">
        <v>1</v>
      </c>
      <c r="B8" s="4">
        <v>0</v>
      </c>
      <c r="C8">
        <v>6</v>
      </c>
      <c r="D8" s="4">
        <v>125</v>
      </c>
      <c r="E8" s="4">
        <v>125</v>
      </c>
      <c r="F8" t="s">
        <v>85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EDBBD-B84D-417A-9729-6F98C4BA5866}">
  <sheetPr codeName="Sheet5"/>
  <dimension ref="A1:I11"/>
  <sheetViews>
    <sheetView workbookViewId="0">
      <selection sqref="A1:I4"/>
    </sheetView>
  </sheetViews>
  <sheetFormatPr defaultRowHeight="14.4" x14ac:dyDescent="0.55000000000000004"/>
  <cols>
    <col min="1" max="1" width="4.7890625" bestFit="1" customWidth="1"/>
    <col min="2" max="2" width="11.5234375" bestFit="1" customWidth="1"/>
    <col min="3" max="3" width="12.7890625" bestFit="1" customWidth="1"/>
    <col min="4" max="4" width="8.578125" bestFit="1" customWidth="1"/>
    <col min="5" max="5" width="8.05078125" bestFit="1" customWidth="1"/>
    <col min="6" max="6" width="10.05078125" bestFit="1" customWidth="1"/>
    <col min="7" max="8" width="12.9453125" bestFit="1" customWidth="1"/>
    <col min="9" max="9" width="9.9453125" bestFit="1" customWidth="1"/>
  </cols>
  <sheetData>
    <row r="1" spans="1:9" x14ac:dyDescent="0.55000000000000004">
      <c r="A1" s="1" t="s">
        <v>4</v>
      </c>
      <c r="B1" s="1" t="s">
        <v>36</v>
      </c>
      <c r="C1" s="1" t="s">
        <v>37</v>
      </c>
      <c r="D1" s="1" t="s">
        <v>7</v>
      </c>
      <c r="E1" s="1" t="s">
        <v>8</v>
      </c>
      <c r="F1" s="1" t="s">
        <v>9</v>
      </c>
      <c r="G1" s="1" t="s">
        <v>13</v>
      </c>
      <c r="H1" s="1" t="s">
        <v>14</v>
      </c>
      <c r="I1" s="1" t="s">
        <v>39</v>
      </c>
    </row>
    <row r="2" spans="1:9" x14ac:dyDescent="0.55000000000000004">
      <c r="A2">
        <v>1</v>
      </c>
      <c r="B2">
        <v>100</v>
      </c>
      <c r="C2">
        <v>0</v>
      </c>
      <c r="D2" t="s">
        <v>10</v>
      </c>
      <c r="E2" t="s">
        <v>11</v>
      </c>
      <c r="F2" t="s">
        <v>12</v>
      </c>
      <c r="G2" s="4">
        <v>100</v>
      </c>
      <c r="H2" s="4">
        <v>100</v>
      </c>
      <c r="I2" t="s">
        <v>40</v>
      </c>
    </row>
    <row r="3" spans="1:9" x14ac:dyDescent="0.55000000000000004">
      <c r="A3">
        <v>2</v>
      </c>
      <c r="B3">
        <v>150</v>
      </c>
      <c r="C3">
        <v>0</v>
      </c>
      <c r="D3" t="s">
        <v>10</v>
      </c>
      <c r="E3" t="s">
        <v>11</v>
      </c>
      <c r="F3" t="s">
        <v>12</v>
      </c>
      <c r="G3" s="4">
        <v>200</v>
      </c>
      <c r="H3" s="4">
        <v>200</v>
      </c>
      <c r="I3" t="s">
        <v>41</v>
      </c>
    </row>
    <row r="4" spans="1:9" x14ac:dyDescent="0.55000000000000004">
      <c r="A4">
        <v>2</v>
      </c>
      <c r="B4">
        <v>50</v>
      </c>
      <c r="C4">
        <v>0</v>
      </c>
      <c r="D4" t="s">
        <v>10</v>
      </c>
      <c r="E4" t="s">
        <v>11</v>
      </c>
      <c r="F4" t="s">
        <v>12</v>
      </c>
      <c r="G4" s="4">
        <v>200</v>
      </c>
      <c r="H4" s="4">
        <v>200</v>
      </c>
      <c r="I4" t="s">
        <v>41</v>
      </c>
    </row>
    <row r="5" spans="1:9" x14ac:dyDescent="0.55000000000000004">
      <c r="A5">
        <v>3</v>
      </c>
      <c r="B5">
        <v>100.5</v>
      </c>
      <c r="C5">
        <v>0</v>
      </c>
      <c r="D5" t="s">
        <v>86</v>
      </c>
      <c r="E5" t="s">
        <v>87</v>
      </c>
      <c r="F5" t="s">
        <v>88</v>
      </c>
      <c r="G5" s="4">
        <v>150.5</v>
      </c>
      <c r="H5" s="4">
        <v>150.5</v>
      </c>
      <c r="I5" t="s">
        <v>82</v>
      </c>
    </row>
    <row r="6" spans="1:9" x14ac:dyDescent="0.55000000000000004">
      <c r="A6">
        <v>3</v>
      </c>
      <c r="B6">
        <v>50.02</v>
      </c>
      <c r="C6">
        <v>0.02</v>
      </c>
      <c r="D6" t="s">
        <v>86</v>
      </c>
      <c r="E6" t="s">
        <v>87</v>
      </c>
      <c r="F6" t="s">
        <v>88</v>
      </c>
      <c r="G6" s="4">
        <v>150.5</v>
      </c>
      <c r="H6" s="4">
        <v>150.5</v>
      </c>
      <c r="I6" t="s">
        <v>82</v>
      </c>
    </row>
    <row r="7" spans="1:9" x14ac:dyDescent="0.55000000000000004">
      <c r="A7">
        <v>4</v>
      </c>
      <c r="B7">
        <v>75.25</v>
      </c>
      <c r="C7">
        <v>0</v>
      </c>
      <c r="D7" t="s">
        <v>89</v>
      </c>
      <c r="E7" t="s">
        <v>90</v>
      </c>
      <c r="F7" t="s">
        <v>91</v>
      </c>
      <c r="G7" s="4">
        <v>75.25</v>
      </c>
      <c r="H7" s="4">
        <v>75.25</v>
      </c>
      <c r="I7" t="s">
        <v>83</v>
      </c>
    </row>
    <row r="8" spans="1:9" x14ac:dyDescent="0.55000000000000004">
      <c r="A8">
        <v>5</v>
      </c>
      <c r="B8">
        <v>200</v>
      </c>
      <c r="C8">
        <v>0</v>
      </c>
      <c r="D8" t="s">
        <v>92</v>
      </c>
      <c r="E8" t="s">
        <v>93</v>
      </c>
      <c r="F8" t="s">
        <v>94</v>
      </c>
      <c r="G8" s="4">
        <v>300</v>
      </c>
      <c r="H8" s="4">
        <v>300</v>
      </c>
      <c r="I8" t="s">
        <v>84</v>
      </c>
    </row>
    <row r="9" spans="1:9" x14ac:dyDescent="0.55000000000000004">
      <c r="A9">
        <v>5</v>
      </c>
      <c r="B9">
        <v>100</v>
      </c>
      <c r="C9">
        <v>0</v>
      </c>
      <c r="D9" t="s">
        <v>92</v>
      </c>
      <c r="E9" t="s">
        <v>93</v>
      </c>
      <c r="F9" t="s">
        <v>94</v>
      </c>
      <c r="G9" s="4">
        <v>300</v>
      </c>
      <c r="H9" s="4">
        <v>300</v>
      </c>
      <c r="I9" t="s">
        <v>84</v>
      </c>
    </row>
    <row r="10" spans="1:9" x14ac:dyDescent="0.55000000000000004">
      <c r="A10">
        <v>6</v>
      </c>
      <c r="B10">
        <v>100</v>
      </c>
      <c r="C10">
        <v>0</v>
      </c>
      <c r="D10" t="s">
        <v>95</v>
      </c>
      <c r="E10" t="s">
        <v>96</v>
      </c>
      <c r="F10" t="s">
        <v>97</v>
      </c>
      <c r="G10" s="4">
        <v>125</v>
      </c>
      <c r="H10" s="4">
        <v>125</v>
      </c>
      <c r="I10" t="s">
        <v>85</v>
      </c>
    </row>
    <row r="11" spans="1:9" x14ac:dyDescent="0.55000000000000004">
      <c r="A11">
        <v>6</v>
      </c>
      <c r="B11">
        <v>30</v>
      </c>
      <c r="C11">
        <v>5</v>
      </c>
      <c r="D11" t="s">
        <v>95</v>
      </c>
      <c r="E11" t="s">
        <v>96</v>
      </c>
      <c r="F11" t="s">
        <v>97</v>
      </c>
      <c r="G11" s="4">
        <v>125</v>
      </c>
      <c r="H11" s="4">
        <v>125</v>
      </c>
      <c r="I11" t="s">
        <v>85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F7205-CF76-4846-8913-77F23F7788F9}">
  <sheetPr codeName="Sheet6"/>
  <dimension ref="A1:E2"/>
  <sheetViews>
    <sheetView workbookViewId="0"/>
  </sheetViews>
  <sheetFormatPr defaultRowHeight="14.4" x14ac:dyDescent="0.55000000000000004"/>
  <cols>
    <col min="1" max="1" width="11.3125" bestFit="1" customWidth="1"/>
    <col min="2" max="2" width="4.7890625" bestFit="1" customWidth="1"/>
    <col min="3" max="4" width="12.9453125" bestFit="1" customWidth="1"/>
    <col min="5" max="5" width="9.9453125" bestFit="1" customWidth="1"/>
    <col min="6" max="6" width="12.578125" bestFit="1" customWidth="1"/>
    <col min="7" max="7" width="9.734375" bestFit="1" customWidth="1"/>
  </cols>
  <sheetData>
    <row r="1" spans="1:5" x14ac:dyDescent="0.55000000000000004">
      <c r="A1" s="1" t="s">
        <v>15</v>
      </c>
      <c r="B1" s="1" t="s">
        <v>4</v>
      </c>
      <c r="C1" s="1" t="s">
        <v>13</v>
      </c>
      <c r="D1" s="1" t="s">
        <v>14</v>
      </c>
      <c r="E1" s="1" t="s">
        <v>39</v>
      </c>
    </row>
    <row r="2" spans="1:5" s="2" customFormat="1" x14ac:dyDescent="0.55000000000000004">
      <c r="A2" s="3">
        <v>-100</v>
      </c>
      <c r="B2" s="2">
        <v>7</v>
      </c>
      <c r="C2" s="3">
        <v>0</v>
      </c>
      <c r="D2" s="3">
        <v>100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C9477-C23A-4CB8-8DA3-55E3CAA3ACD6}">
  <sheetPr codeName="Sheet9"/>
  <dimension ref="A1:E11"/>
  <sheetViews>
    <sheetView workbookViewId="0"/>
  </sheetViews>
  <sheetFormatPr defaultRowHeight="14.4" x14ac:dyDescent="0.55000000000000004"/>
  <cols>
    <col min="1" max="1" width="9.9453125" bestFit="1" customWidth="1"/>
    <col min="2" max="2" width="4.7890625" bestFit="1" customWidth="1"/>
    <col min="3" max="3" width="9.20703125" bestFit="1" customWidth="1"/>
    <col min="4" max="4" width="24.578125" bestFit="1" customWidth="1"/>
    <col min="5" max="5" width="8.89453125" bestFit="1" customWidth="1"/>
  </cols>
  <sheetData>
    <row r="1" spans="1:5" x14ac:dyDescent="0.55000000000000004">
      <c r="A1" t="s">
        <v>39</v>
      </c>
      <c r="B1" t="s">
        <v>4</v>
      </c>
      <c r="C1" t="s">
        <v>26</v>
      </c>
      <c r="D1" t="s">
        <v>32</v>
      </c>
      <c r="E1" t="s">
        <v>28</v>
      </c>
    </row>
    <row r="2" spans="1:5" x14ac:dyDescent="0.55000000000000004">
      <c r="A2" t="s">
        <v>40</v>
      </c>
      <c r="B2">
        <v>1</v>
      </c>
      <c r="C2">
        <v>100</v>
      </c>
      <c r="D2" t="s">
        <v>33</v>
      </c>
      <c r="E2" t="str">
        <f>IF(Table38[[#This Row],[Amount]]&gt;100,"HIGH","LOW")</f>
        <v>LOW</v>
      </c>
    </row>
    <row r="3" spans="1:5" x14ac:dyDescent="0.55000000000000004">
      <c r="A3" t="s">
        <v>41</v>
      </c>
      <c r="B3">
        <v>2</v>
      </c>
      <c r="C3">
        <v>200</v>
      </c>
      <c r="D3" t="s">
        <v>33</v>
      </c>
      <c r="E3" t="str">
        <f>IF(Table38[[#This Row],[Amount]]&gt;100,"HIGH","LOW")</f>
        <v>HIGH</v>
      </c>
    </row>
    <row r="4" spans="1:5" x14ac:dyDescent="0.55000000000000004">
      <c r="A4" t="s">
        <v>41</v>
      </c>
      <c r="B4">
        <v>2</v>
      </c>
      <c r="C4">
        <v>200</v>
      </c>
      <c r="D4" t="s">
        <v>33</v>
      </c>
      <c r="E4" t="str">
        <f>IF(Table38[[#This Row],[Amount]]&gt;100,"HIGH","LOW")</f>
        <v>HIGH</v>
      </c>
    </row>
    <row r="5" spans="1:5" x14ac:dyDescent="0.55000000000000004">
      <c r="A5" t="s">
        <v>82</v>
      </c>
      <c r="B5">
        <v>3</v>
      </c>
      <c r="C5">
        <v>150.5</v>
      </c>
      <c r="D5" t="s">
        <v>33</v>
      </c>
      <c r="E5" t="str">
        <f>IF(Table38[[#This Row],[Amount]]&gt;100,"HIGH","LOW")</f>
        <v>HIGH</v>
      </c>
    </row>
    <row r="6" spans="1:5" x14ac:dyDescent="0.55000000000000004">
      <c r="A6" t="s">
        <v>82</v>
      </c>
      <c r="B6">
        <v>3</v>
      </c>
      <c r="C6">
        <v>150.5</v>
      </c>
      <c r="D6" t="s">
        <v>33</v>
      </c>
      <c r="E6" t="str">
        <f>IF(Table38[[#This Row],[Amount]]&gt;100,"HIGH","LOW")</f>
        <v>HIGH</v>
      </c>
    </row>
    <row r="7" spans="1:5" x14ac:dyDescent="0.55000000000000004">
      <c r="A7" t="s">
        <v>83</v>
      </c>
      <c r="B7">
        <v>4</v>
      </c>
      <c r="C7">
        <v>75.25</v>
      </c>
      <c r="D7" t="s">
        <v>33</v>
      </c>
      <c r="E7" t="str">
        <f>IF(Table38[[#This Row],[Amount]]&gt;100,"HIGH","LOW")</f>
        <v>LOW</v>
      </c>
    </row>
    <row r="8" spans="1:5" x14ac:dyDescent="0.55000000000000004">
      <c r="A8" t="s">
        <v>84</v>
      </c>
      <c r="B8">
        <v>5</v>
      </c>
      <c r="C8">
        <v>300</v>
      </c>
      <c r="D8" t="s">
        <v>33</v>
      </c>
      <c r="E8" t="str">
        <f>IF(Table38[[#This Row],[Amount]]&gt;100,"HIGH","LOW")</f>
        <v>HIGH</v>
      </c>
    </row>
    <row r="9" spans="1:5" x14ac:dyDescent="0.55000000000000004">
      <c r="A9" t="s">
        <v>84</v>
      </c>
      <c r="B9">
        <v>5</v>
      </c>
      <c r="C9">
        <v>300</v>
      </c>
      <c r="D9" t="s">
        <v>33</v>
      </c>
      <c r="E9" t="str">
        <f>IF(Table38[[#This Row],[Amount]]&gt;100,"HIGH","LOW")</f>
        <v>HIGH</v>
      </c>
    </row>
    <row r="10" spans="1:5" x14ac:dyDescent="0.55000000000000004">
      <c r="A10" t="s">
        <v>85</v>
      </c>
      <c r="B10">
        <v>6</v>
      </c>
      <c r="C10">
        <v>125</v>
      </c>
      <c r="D10" t="s">
        <v>33</v>
      </c>
      <c r="E10" t="str">
        <f>IF(Table38[[#This Row],[Amount]]&gt;100,"HIGH","LOW")</f>
        <v>HIGH</v>
      </c>
    </row>
    <row r="11" spans="1:5" x14ac:dyDescent="0.55000000000000004">
      <c r="A11" t="s">
        <v>85</v>
      </c>
      <c r="B11">
        <v>6</v>
      </c>
      <c r="C11">
        <v>125</v>
      </c>
      <c r="D11" t="s">
        <v>33</v>
      </c>
      <c r="E11" t="str">
        <f>IF(Table38[[#This Row],[Amount]]&gt;100,"HIGH","LOW")</f>
        <v>HIGH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DE236-9D82-4BF2-A83A-2286F185BE0B}">
  <sheetPr codeName="Sheet13"/>
  <dimension ref="A1:I6"/>
  <sheetViews>
    <sheetView workbookViewId="0">
      <selection activeCell="G1" sqref="G1"/>
    </sheetView>
  </sheetViews>
  <sheetFormatPr defaultRowHeight="14.4" x14ac:dyDescent="0.55000000000000004"/>
  <cols>
    <col min="1" max="1" width="10.20703125" bestFit="1" customWidth="1"/>
    <col min="2" max="2" width="8.3671875" bestFit="1" customWidth="1"/>
    <col min="3" max="3" width="12.578125" bestFit="1" customWidth="1"/>
    <col min="4" max="4" width="13.734375" bestFit="1" customWidth="1"/>
    <col min="5" max="5" width="8.578125" bestFit="1" customWidth="1"/>
    <col min="6" max="7" width="12.9453125" bestFit="1" customWidth="1"/>
    <col min="8" max="8" width="11.3125" bestFit="1" customWidth="1"/>
  </cols>
  <sheetData>
    <row r="1" spans="1:9" x14ac:dyDescent="0.55000000000000004">
      <c r="A1" t="s">
        <v>46</v>
      </c>
      <c r="B1" t="s">
        <v>75</v>
      </c>
      <c r="C1" t="s">
        <v>76</v>
      </c>
      <c r="D1" t="s">
        <v>77</v>
      </c>
      <c r="E1" t="s">
        <v>24</v>
      </c>
      <c r="F1" t="s">
        <v>13</v>
      </c>
      <c r="G1" t="s">
        <v>14</v>
      </c>
      <c r="H1" t="s">
        <v>15</v>
      </c>
      <c r="I1" t="s">
        <v>78</v>
      </c>
    </row>
    <row r="2" spans="1:9" x14ac:dyDescent="0.55000000000000004">
      <c r="B2" t="s">
        <v>101</v>
      </c>
      <c r="C2" t="s">
        <v>102</v>
      </c>
      <c r="F2">
        <v>250</v>
      </c>
      <c r="G2">
        <v>250</v>
      </c>
      <c r="I2" t="str">
        <f>IF(ABS(Table20[[#This Row],[Difference]])&lt;0.02,"OK","REVIEW")</f>
        <v>OK</v>
      </c>
    </row>
    <row r="3" spans="1:9" x14ac:dyDescent="0.55000000000000004">
      <c r="B3" t="s">
        <v>103</v>
      </c>
      <c r="C3" t="s">
        <v>104</v>
      </c>
      <c r="F3">
        <v>200</v>
      </c>
      <c r="G3">
        <v>200</v>
      </c>
    </row>
    <row r="4" spans="1:9" x14ac:dyDescent="0.55000000000000004">
      <c r="B4" t="s">
        <v>101</v>
      </c>
      <c r="C4" t="s">
        <v>102</v>
      </c>
      <c r="F4">
        <v>150.5</v>
      </c>
      <c r="G4">
        <v>150.5</v>
      </c>
    </row>
    <row r="5" spans="1:9" x14ac:dyDescent="0.55000000000000004">
      <c r="B5" t="s">
        <v>105</v>
      </c>
      <c r="C5" t="s">
        <v>106</v>
      </c>
      <c r="F5">
        <v>500</v>
      </c>
      <c r="G5">
        <v>500</v>
      </c>
    </row>
    <row r="6" spans="1:9" x14ac:dyDescent="0.55000000000000004">
      <c r="B6" t="s">
        <v>107</v>
      </c>
      <c r="C6" t="s">
        <v>108</v>
      </c>
      <c r="F6">
        <v>125</v>
      </c>
      <c r="G6">
        <v>125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014A6-1EF4-4C3D-B18F-D6D0527F7F3D}">
  <sheetPr codeName="Sheet14"/>
  <dimension ref="A1:I3"/>
  <sheetViews>
    <sheetView workbookViewId="0"/>
  </sheetViews>
  <sheetFormatPr defaultRowHeight="14.4" x14ac:dyDescent="0.55000000000000004"/>
  <cols>
    <col min="1" max="1" width="17.3671875" bestFit="1" customWidth="1"/>
    <col min="2" max="2" width="10.5234375" bestFit="1" customWidth="1"/>
    <col min="3" max="3" width="13.47265625" bestFit="1" customWidth="1"/>
    <col min="4" max="4" width="13.89453125" bestFit="1" customWidth="1"/>
    <col min="5" max="5" width="9.734375" bestFit="1" customWidth="1"/>
    <col min="6" max="6" width="7.734375" bestFit="1" customWidth="1"/>
    <col min="7" max="7" width="10.83984375" bestFit="1" customWidth="1"/>
    <col min="8" max="8" width="12.5234375" bestFit="1" customWidth="1"/>
    <col min="9" max="9" width="6.68359375" bestFit="1" customWidth="1"/>
  </cols>
  <sheetData>
    <row r="1" spans="1:9" x14ac:dyDescent="0.55000000000000004">
      <c r="A1" s="1" t="s">
        <v>109</v>
      </c>
      <c r="B1" s="1" t="s">
        <v>110</v>
      </c>
      <c r="C1" s="1" t="s">
        <v>59</v>
      </c>
      <c r="D1" s="1" t="s">
        <v>111</v>
      </c>
      <c r="E1" s="1" t="s">
        <v>112</v>
      </c>
      <c r="F1" s="1" t="s">
        <v>113</v>
      </c>
      <c r="G1" s="1" t="s">
        <v>38</v>
      </c>
      <c r="H1" s="1" t="s">
        <v>114</v>
      </c>
      <c r="I1" s="1" t="s">
        <v>115</v>
      </c>
    </row>
    <row r="2" spans="1:9" x14ac:dyDescent="0.55000000000000004">
      <c r="A2" s="5">
        <v>46066.490729166668</v>
      </c>
      <c r="B2" s="1" t="s">
        <v>58</v>
      </c>
      <c r="C2" s="1" t="s">
        <v>59</v>
      </c>
      <c r="D2" s="1">
        <v>7</v>
      </c>
      <c r="E2" s="1">
        <v>6</v>
      </c>
      <c r="F2" s="1">
        <v>1</v>
      </c>
      <c r="G2" s="1">
        <v>0.03</v>
      </c>
      <c r="H2" s="1" t="s">
        <v>116</v>
      </c>
      <c r="I2" s="1" t="s">
        <v>117</v>
      </c>
    </row>
    <row r="3" spans="1:9" x14ac:dyDescent="0.55000000000000004">
      <c r="A3" s="5">
        <v>46066.492384259262</v>
      </c>
      <c r="B3" s="1" t="s">
        <v>58</v>
      </c>
      <c r="C3" s="1" t="s">
        <v>59</v>
      </c>
      <c r="D3" s="1">
        <v>7</v>
      </c>
      <c r="E3" s="1">
        <v>6</v>
      </c>
      <c r="F3" s="1">
        <v>1</v>
      </c>
      <c r="G3" s="1">
        <v>0.03</v>
      </c>
      <c r="H3" s="1" t="s">
        <v>116</v>
      </c>
      <c r="I3" s="1" t="s">
        <v>117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5"/>
  <sheetViews>
    <sheetView tabSelected="1" workbookViewId="0"/>
  </sheetViews>
  <sheetFormatPr defaultRowHeight="14.4" x14ac:dyDescent="0.55000000000000004"/>
  <cols>
    <col min="1" max="1" width="17.3671875" bestFit="1" customWidth="1"/>
    <col min="2" max="2" width="12.9453125" bestFit="1" customWidth="1"/>
    <col min="3" max="3" width="10.5234375" bestFit="1" customWidth="1"/>
    <col min="4" max="4" width="69.1015625" bestFit="1" customWidth="1"/>
    <col min="5" max="5" width="8.15625" bestFit="1" customWidth="1"/>
    <col min="6" max="6" width="9.5234375" bestFit="1" customWidth="1"/>
    <col min="7" max="7" width="6.68359375" bestFit="1" customWidth="1"/>
  </cols>
  <sheetData>
    <row r="1" spans="1:7" x14ac:dyDescent="0.55000000000000004">
      <c r="A1" s="1" t="s">
        <v>109</v>
      </c>
      <c r="B1" s="1" t="s">
        <v>118</v>
      </c>
      <c r="C1" s="1" t="s">
        <v>110</v>
      </c>
      <c r="D1" s="1" t="s">
        <v>119</v>
      </c>
      <c r="E1" s="1" t="s">
        <v>78</v>
      </c>
      <c r="F1" s="1" t="s">
        <v>120</v>
      </c>
      <c r="G1" s="1" t="s">
        <v>115</v>
      </c>
    </row>
    <row r="2" spans="1:7" x14ac:dyDescent="0.55000000000000004">
      <c r="A2" s="5">
        <v>46066.496712962966</v>
      </c>
      <c r="B2" s="1" t="s">
        <v>121</v>
      </c>
      <c r="C2" s="1" t="s">
        <v>122</v>
      </c>
      <c r="D2" s="1" t="s">
        <v>123</v>
      </c>
      <c r="E2" s="1" t="s">
        <v>124</v>
      </c>
      <c r="F2" s="1">
        <v>6</v>
      </c>
      <c r="G2" s="1" t="s">
        <v>117</v>
      </c>
    </row>
    <row r="3" spans="1:7" x14ac:dyDescent="0.55000000000000004">
      <c r="A3" s="5">
        <v>46066.49690972222</v>
      </c>
      <c r="B3" s="1" t="s">
        <v>121</v>
      </c>
      <c r="C3" s="1" t="s">
        <v>122</v>
      </c>
      <c r="D3" s="1" t="s">
        <v>125</v>
      </c>
      <c r="E3" s="1" t="s">
        <v>124</v>
      </c>
      <c r="F3" s="1">
        <v>12</v>
      </c>
      <c r="G3" s="1" t="s">
        <v>117</v>
      </c>
    </row>
    <row r="4" spans="1:7" x14ac:dyDescent="0.55000000000000004">
      <c r="A4" s="5">
        <v>46066.497071759259</v>
      </c>
      <c r="B4" s="1" t="s">
        <v>126</v>
      </c>
      <c r="C4" s="1" t="s">
        <v>58</v>
      </c>
      <c r="D4" s="1" t="s">
        <v>127</v>
      </c>
      <c r="E4" s="1" t="s">
        <v>124</v>
      </c>
      <c r="F4" s="1">
        <v>7</v>
      </c>
      <c r="G4" s="1" t="s">
        <v>117</v>
      </c>
    </row>
    <row r="5" spans="1:7" x14ac:dyDescent="0.55000000000000004">
      <c r="A5" s="5">
        <v>46066.497210648151</v>
      </c>
      <c r="B5" s="1" t="s">
        <v>128</v>
      </c>
      <c r="C5" s="1" t="s">
        <v>58</v>
      </c>
      <c r="D5" s="1" t="s">
        <v>129</v>
      </c>
      <c r="E5" s="1" t="s">
        <v>124</v>
      </c>
      <c r="F5" s="1">
        <v>10</v>
      </c>
      <c r="G5" s="1" t="s">
        <v>117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Backlog</vt:lpstr>
      <vt:lpstr>Workflows</vt:lpstr>
      <vt:lpstr>Recon Config</vt:lpstr>
      <vt:lpstr>Recon Config - Summary</vt:lpstr>
      <vt:lpstr>Transform Config</vt:lpstr>
      <vt:lpstr>Transform Config - Summary</vt:lpstr>
      <vt:lpstr>Sheet1</vt:lpstr>
      <vt:lpstr>Sheet2</vt:lpstr>
      <vt:lpstr>All Results</vt:lpstr>
      <vt:lpstr>Match Results</vt:lpstr>
      <vt:lpstr>Error Results</vt:lpstr>
      <vt:lpstr>Export</vt:lpstr>
      <vt:lpstr>Summary Export</vt:lpstr>
      <vt:lpstr>Recon Log</vt:lpstr>
      <vt:lpstr>Activity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2026-02-13T18:03:33Z</dcterms:modified>
</cp:coreProperties>
</file>