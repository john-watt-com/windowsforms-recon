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1065edc839078b3/Documents/repos/VBA/windowsforms-recon/ExcelVBA/"/>
    </mc:Choice>
  </mc:AlternateContent>
  <xr:revisionPtr revIDLastSave="16022" documentId="8_{02591AEE-AA27-4992-A490-F4BCF6A95374}" xr6:coauthVersionLast="47" xr6:coauthVersionMax="47" xr10:uidLastSave="{5C8FDDA5-BE0D-48D6-8184-BC810594868F}"/>
  <bookViews>
    <workbookView xWindow="-96" yWindow="-96" windowWidth="23232" windowHeight="13872" tabRatio="901" firstSheet="7" activeTab="11" xr2:uid="{713D0E20-2510-4F46-8450-E6CC1A43B8CC}"/>
  </bookViews>
  <sheets>
    <sheet name="Backlog" sheetId="11" r:id="rId1"/>
    <sheet name="Workflows" sheetId="12" r:id="rId2"/>
    <sheet name="Recon Config" sheetId="1" r:id="rId3"/>
    <sheet name="Transform Config" sheetId="8" r:id="rId4"/>
    <sheet name="Recon Config - Summary" sheetId="13" state="hidden" r:id="rId5"/>
    <sheet name="Sheet1" sheetId="3" r:id="rId6"/>
    <sheet name="Sheet2" sheetId="2" r:id="rId7"/>
    <sheet name="Activity Log" sheetId="18" r:id="rId8"/>
    <sheet name="Fee All Results" sheetId="25" r:id="rId9"/>
    <sheet name="Fee Match Results" sheetId="26" r:id="rId10"/>
    <sheet name="Fee Error Results" sheetId="27" r:id="rId11"/>
    <sheet name="Fee Upload Ready" sheetId="28" r:id="rId12"/>
    <sheet name="Fee 2 All Results" sheetId="29" r:id="rId13"/>
    <sheet name="Fee 2 Match Results" sheetId="30" r:id="rId14"/>
    <sheet name="Fee 2 Error Results" sheetId="31" r:id="rId15"/>
    <sheet name="Fee 2 Upload Ready" sheetId="32" r:id="rId16"/>
  </sheets>
  <definedNames>
    <definedName name="_xleta.VALUE" hidden="1" xlm="1">#NAME?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32" l="1"/>
  <c r="H2" i="28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G2" i="28"/>
  <c r="G3" i="28"/>
  <c r="G4" i="28"/>
  <c r="G5" i="28"/>
  <c r="G6" i="28"/>
  <c r="G7" i="28"/>
  <c r="G8" i="28"/>
  <c r="G9" i="28"/>
  <c r="G10" i="28"/>
  <c r="G11" i="28"/>
  <c r="G12" i="28"/>
  <c r="G13" i="28"/>
  <c r="G14" i="28"/>
  <c r="G15" i="28"/>
  <c r="G16" i="28"/>
  <c r="G17" i="28"/>
  <c r="E28" i="8"/>
  <c r="E27" i="8"/>
  <c r="E19" i="8"/>
  <c r="E21" i="8"/>
</calcChain>
</file>

<file path=xl/sharedStrings.xml><?xml version="1.0" encoding="utf-8"?>
<sst xmlns="http://schemas.openxmlformats.org/spreadsheetml/2006/main" count="1542" uniqueCount="191">
  <si>
    <t>ID</t>
  </si>
  <si>
    <t>Value</t>
  </si>
  <si>
    <t>Setting</t>
  </si>
  <si>
    <t>Sheet1 Total</t>
  </si>
  <si>
    <t>Sheet2 Total</t>
  </si>
  <si>
    <t>Difference</t>
  </si>
  <si>
    <t>IsMatch</t>
  </si>
  <si>
    <t>Source Sheet</t>
  </si>
  <si>
    <t>Target Sheet</t>
  </si>
  <si>
    <t>Order</t>
  </si>
  <si>
    <t>Target Column</t>
  </si>
  <si>
    <t>Type</t>
  </si>
  <si>
    <t>Source</t>
  </si>
  <si>
    <t>Amount</t>
  </si>
  <si>
    <t>Match Results</t>
  </si>
  <si>
    <t>Tolerance</t>
  </si>
  <si>
    <t>Sort Order</t>
  </si>
  <si>
    <t>ParentID,ID</t>
  </si>
  <si>
    <t>schemas to verify if loaded files match expected</t>
  </si>
  <si>
    <t>Default</t>
  </si>
  <si>
    <t>Sheet1 ID Column</t>
  </si>
  <si>
    <t>Sheet2 ID Column</t>
  </si>
  <si>
    <t>Sheet1 Value Columns</t>
  </si>
  <si>
    <t>Sheet2 Value Columns</t>
  </si>
  <si>
    <t>Status</t>
  </si>
  <si>
    <t>Timestamp</t>
  </si>
  <si>
    <t>Workflow</t>
  </si>
  <si>
    <t>User</t>
  </si>
  <si>
    <t>johnw</t>
  </si>
  <si>
    <t>Operation</t>
  </si>
  <si>
    <t>Details</t>
  </si>
  <si>
    <t>Records</t>
  </si>
  <si>
    <t>Import</t>
  </si>
  <si>
    <t>N/A</t>
  </si>
  <si>
    <t>File: TestData_Default_Sheet1.csv | Target: Sheet1</t>
  </si>
  <si>
    <t>Success</t>
  </si>
  <si>
    <t>File: TestData_Default_Sheet2.csv | Target: Sheet2</t>
  </si>
  <si>
    <t>Reconciliation</t>
  </si>
  <si>
    <t>Config: Recon Config | Matches: 6 | Errors: 1 | Tolerance: 0.03 | Detail Mode: SHEET2</t>
  </si>
  <si>
    <t>Transformation</t>
  </si>
  <si>
    <t>Transform: Export_Matches | Source: Match Results | Target: Export | Duration: 0.0s</t>
  </si>
  <si>
    <t>WorkflowName</t>
  </si>
  <si>
    <t>GL Monthly</t>
  </si>
  <si>
    <t>GL Daily</t>
  </si>
  <si>
    <t>Trade Journal Monthly</t>
  </si>
  <si>
    <t>Trade Journal Daily</t>
  </si>
  <si>
    <t>Sheet1 Filter</t>
  </si>
  <si>
    <t>Sheet2 Filter</t>
  </si>
  <si>
    <t>Description="Trade Journal Error"</t>
  </si>
  <si>
    <t>Amount&lt;&gt;0</t>
  </si>
  <si>
    <t>File: TestData_GL_Monthly_Sheet1.csv | Target: Sheet1</t>
  </si>
  <si>
    <t>File: TestData_GL_Monthly_Sheet2.csv | Target: Sheet2</t>
  </si>
  <si>
    <t>Config: Recon Config | Matches: 3 | Errors: 0 | Tolerance: 0.03 | Detail Mode: None</t>
  </si>
  <si>
    <t>Detail Sheet</t>
  </si>
  <si>
    <t>Sheet2</t>
  </si>
  <si>
    <t>File: TestData_TradeJournalMonthly_Sheet1.csv | Target: Sheet1</t>
  </si>
  <si>
    <t>File: TestData_TradeJournalMonthly_Sheet2.csv | Target: Sheet2</t>
  </si>
  <si>
    <t>Config: Recon Config | Matches: 3 | Errors: 0 | Tolerance: 0.03 | Detail Mode: SHEET2</t>
  </si>
  <si>
    <t>File: TestData_Summary_Sheet2.csv | Target: Sheet2</t>
  </si>
  <si>
    <t>Config: Recon Config | Matches: 1 | Errors: 2 | Tolerance: 0.03 | Detail Mode: SHEET2</t>
  </si>
  <si>
    <t>Transform: Export_Matches | Source: Match Results | Target: Export | Duration: 1.6s</t>
  </si>
  <si>
    <t>Config: Recon Config | Matches: 5 | Errors: 3 | Tolerance: 0.03 | Detail Mode: SHEET2</t>
  </si>
  <si>
    <t>Sheet1 Additional Columns</t>
  </si>
  <si>
    <t>Sheet2 Additional Columns</t>
  </si>
  <si>
    <t>File: TestData_Summary.csv | Target: Sheet1</t>
  </si>
  <si>
    <t>Interest</t>
  </si>
  <si>
    <t>Fee</t>
  </si>
  <si>
    <t>File: TestData_Detail.csv | Target: Sheet2</t>
  </si>
  <si>
    <t>Config: Recon Config | Matches: 2 | Errors: 2 | Tolerance: 0.01 | Detail Mode: SHEET2</t>
  </si>
  <si>
    <t>Error</t>
  </si>
  <si>
    <t>Config: Recon Config | Matches: 7 | Errors: 1 | Tolerance: 0.01 | Detail Mode: SHEET2</t>
  </si>
  <si>
    <t>Loan</t>
  </si>
  <si>
    <t>Amount&lt;&gt;0,Category="Loan"</t>
  </si>
  <si>
    <t>File: TestData_Summary.csv | Target: Sheet2</t>
  </si>
  <si>
    <t>Config: Recon Config | Matches: 1 | Errors: 4 | Tolerance: 0.01 | Detail Mode: SHEET2</t>
  </si>
  <si>
    <t>Config: Recon Config | Matches: 4 | Errors: 3 | Tolerance: 0.01 | Detail Mode: SHEET2</t>
  </si>
  <si>
    <t>Workflow Name</t>
  </si>
  <si>
    <t>Result Sheet Prefix</t>
  </si>
  <si>
    <t>Fee Recon</t>
  </si>
  <si>
    <t>Loan Recon</t>
  </si>
  <si>
    <t>Interest Recon</t>
  </si>
  <si>
    <t>AccountID</t>
  </si>
  <si>
    <t>Type="Fee"</t>
  </si>
  <si>
    <t>AccountID ASC</t>
  </si>
  <si>
    <t>+Principal, +Interest, -Fees</t>
  </si>
  <si>
    <t>TotalAmount</t>
  </si>
  <si>
    <t>BorrowerName, LoanType, Status</t>
  </si>
  <si>
    <t>BorrowerName, LoanType</t>
  </si>
  <si>
    <t>Type="Loan" AND Status&lt;&gt;"Cancelled"</t>
  </si>
  <si>
    <t>Type="Loan"</t>
  </si>
  <si>
    <t>Sheet1</t>
  </si>
  <si>
    <t>BorrowerName ASC, LoanID ASC</t>
  </si>
  <si>
    <t>AcctID</t>
  </si>
  <si>
    <t>InterestEarned</t>
  </si>
  <si>
    <t>InterestPaid</t>
  </si>
  <si>
    <t>AccountType, Period</t>
  </si>
  <si>
    <t>Type="Interest" AND InterestEarned&lt;&gt;0</t>
  </si>
  <si>
    <t>Type="Interest"</t>
  </si>
  <si>
    <t>Period DESC, AccountID ASC</t>
  </si>
  <si>
    <t>Name</t>
  </si>
  <si>
    <t>Upload Transform</t>
  </si>
  <si>
    <t>Upload Ready</t>
  </si>
  <si>
    <t>Filter</t>
  </si>
  <si>
    <t>AccountID ASC, Date DESC</t>
  </si>
  <si>
    <t>Account ID</t>
  </si>
  <si>
    <t>EXISTING</t>
  </si>
  <si>
    <t>Account Name</t>
  </si>
  <si>
    <t>AccountName</t>
  </si>
  <si>
    <t>Transaction Type</t>
  </si>
  <si>
    <t>Currency</t>
  </si>
  <si>
    <t>STATIC</t>
  </si>
  <si>
    <t>USD</t>
  </si>
  <si>
    <t>Processing Date</t>
  </si>
  <si>
    <t>Net Amount</t>
  </si>
  <si>
    <t>FORMULA</t>
  </si>
  <si>
    <t>=[@Amount]*0.98</t>
  </si>
  <si>
    <t>Upload Batch</t>
  </si>
  <si>
    <t>Acme Corp</t>
  </si>
  <si>
    <t>Active</t>
  </si>
  <si>
    <t>Widget Inc</t>
  </si>
  <si>
    <t>Global Ltd</t>
  </si>
  <si>
    <t>Tech Solutions</t>
  </si>
  <si>
    <t>Finance Co</t>
  </si>
  <si>
    <t>Services LLC</t>
  </si>
  <si>
    <t>Consulting Group</t>
  </si>
  <si>
    <t>Investment Partners</t>
  </si>
  <si>
    <t>Solutions Inc</t>
  </si>
  <si>
    <t>Analytics Ltd</t>
  </si>
  <si>
    <t>Enterprise Co</t>
  </si>
  <si>
    <t>LineItem</t>
  </si>
  <si>
    <t>Setup Fee</t>
  </si>
  <si>
    <t>Processing Fee</t>
  </si>
  <si>
    <t>Monthly Fee</t>
  </si>
  <si>
    <t>Service Fee</t>
  </si>
  <si>
    <t>Principal Payment</t>
  </si>
  <si>
    <t>Additional Advance</t>
  </si>
  <si>
    <t>Q1 Interest</t>
  </si>
  <si>
    <t>Q2 Interest</t>
  </si>
  <si>
    <t>Annual Fee</t>
  </si>
  <si>
    <t>Consulting Fee</t>
  </si>
  <si>
    <t>Base Fee</t>
  </si>
  <si>
    <t>Variable Fee</t>
  </si>
  <si>
    <t>Term Loan</t>
  </si>
  <si>
    <t>Bridge Loan</t>
  </si>
  <si>
    <t>Support Fee</t>
  </si>
  <si>
    <t>Retainer</t>
  </si>
  <si>
    <t>Extra Services</t>
  </si>
  <si>
    <t>Accrued Q1</t>
  </si>
  <si>
    <t>Accrued Q2</t>
  </si>
  <si>
    <t>Digital Agency</t>
  </si>
  <si>
    <t>Training Fee</t>
  </si>
  <si>
    <t>Config: Recon Config | Matches: 0 | Errors: 0 | Tolerance: 0.01 | Detail Mode: SHEET2</t>
  </si>
  <si>
    <t>Config: Recon Config | Matches: 4 | Errors: 4 | Tolerance: 0.01 | Detail Mode: None</t>
  </si>
  <si>
    <t>Transform: Upload Transform | Source: Match Results | Target: Upload Ready | Duration: 1.8s</t>
  </si>
  <si>
    <t>Transform: Upload Transform | Source: Fee Match Results | Target: Fee Upload Ready | Duration: 1.8s</t>
  </si>
  <si>
    <t>Transform: Upload Transform | Source: Fee Match Results | Target: Fee Upload Ready | Duration: 2.6s</t>
  </si>
  <si>
    <t>Transform: Upload Transform | Source: Fee Match Results | Target: Fee Upload Ready | Duration: 0.1s</t>
  </si>
  <si>
    <t>Transform: Upload Transform | Source: Fee Match Results | Target: Fee Upload Ready | Duration: 0.0s</t>
  </si>
  <si>
    <t>Type,Amount</t>
  </si>
  <si>
    <t>Config: Recon Config | Matches: 4 | Errors: 4 | Tolerance: 0.01 | Detail Mode: SHEET2</t>
  </si>
  <si>
    <t>Error: Application-defined or object-defined error</t>
  </si>
  <si>
    <t>Config: Recon Config | Matches: 0 | Errors: 0 | Tolerance: 0.05 | Detail Mode: SHEET1</t>
  </si>
  <si>
    <t>Config: Recon Config | Matches: 0 | Errors: 0 | Tolerance: 0.001 | Detail Mode: SHEET2</t>
  </si>
  <si>
    <t>Fix Recon and Transform Config examples as they refer to columns that don't exist for loans and interest</t>
  </si>
  <si>
    <t xml:space="preserve">Turn it into one continuous process. Checkboxes? </t>
  </si>
  <si>
    <t>Defaults</t>
  </si>
  <si>
    <t>Code cleanup</t>
  </si>
  <si>
    <t>MessageBox</t>
  </si>
  <si>
    <t>Small Adjustments Inc</t>
  </si>
  <si>
    <t>Rounding Adjustment</t>
  </si>
  <si>
    <t>Minor Correction</t>
  </si>
  <si>
    <t>Tiny Amounts LLC</t>
  </si>
  <si>
    <t>Credit Adjustment</t>
  </si>
  <si>
    <t>Refund</t>
  </si>
  <si>
    <t>Rounding Co</t>
  </si>
  <si>
    <t>Penny Difference</t>
  </si>
  <si>
    <t>Small Variance</t>
  </si>
  <si>
    <t>Negligible Ltd</t>
  </si>
  <si>
    <t>Trivial Amount</t>
  </si>
  <si>
    <t>Near Threshold</t>
  </si>
  <si>
    <t>Config: Recon Config | Matches: 4 | Errors: 8 | Tolerance: 0.01 | Detail Mode: SHEET2</t>
  </si>
  <si>
    <t>Config: Recon Config | Matches: 8 | Errors: 4 | Tolerance: 0.05 | Detail Mode: SHEET2</t>
  </si>
  <si>
    <t>Column1</t>
  </si>
  <si>
    <t>Fee Recon 2</t>
  </si>
  <si>
    <t>Fee 2</t>
  </si>
  <si>
    <t>Transform: Upload Transform | Source: Fee 2 Match Results | Target: Fee 2 Upload Ready | Duration: 0.1s</t>
  </si>
  <si>
    <t>AccountName="Widget Inc"</t>
  </si>
  <si>
    <t>Transform: Upload Transform | Source: Fee 2 Match Results | Target: Fee 2 Upload Ready | Duration: 0.0s</t>
  </si>
  <si>
    <t>Add Save Upload functionality, Configs? Default Folder, SaveAsFormat</t>
  </si>
  <si>
    <t>Export</t>
  </si>
  <si>
    <t>Sheet: Fee Upload Ready | File: https://d.docs.live.net/91065edc839078b3/Documents/repos/VBA/windowsforms-recon/ExcelVBA/Fee Upload Ready_2026-02-17_1418.xls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</si>
</sst>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/>
    <xf numFmtId="4" fontId="0" fillId="0" borderId="0" xfId="0" applyNumberFormat="1"/>
    <xf numFmtId="0" fontId="0" fillId="2" borderId="0" xfId="0" applyFill="1"/>
    <xf numFmtId="164" fontId="0" fillId="2" borderId="0" xfId="0" applyNumberFormat="1" applyFill="1"/>
    <xf numFmtId="14" fontId="0" fillId="0" borderId="0" xfId="0" applyNumberFormat="1"/>
    <xf numFmtId="0" fontId="0" fillId="3" borderId="0" xfId="0" applyFill="1"/>
    <xf numFmtId="4" fontId="0" fillId="3" borderId="0" xfId="0" applyNumberFormat="1" applyFill="1"/>
    <xf numFmtId="164" fontId="0" fillId="3" borderId="0" xfId="0" applyNumberFormat="1" applyFill="1"/>
    <xf numFmtId="164" fontId="0" fillId="3" borderId="0" xfId="0" applyNumberFormat="1" applyFont="1" applyFill="1"/>
    <xf numFmtId="0" fontId="0" fillId="3" borderId="0" xfId="0" applyFont="1" applyFill="1"/>
  </cellXfs>
  <cellStyles count="1">
    <cellStyle name="Normal" xfId="0" builtinId="0"/>
  </cellStyles>
  <dxfs count="41">
    <dxf>
      <font>
        <b val="0"/>
      </font>
      <numFmt numFmtId="164" formatCode="yyyy\-mm\-dd\ hh:mm:ss"/>
    </dxf>
    <dxf>
      <font>
        <b val="0"/>
      </font>
    </dxf>
    <dxf>
      <numFmt numFmtId="19" formatCode="m/d/yyyy"/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numFmt numFmtId="0" formatCode="General"/>
    </dxf>
    <dxf>
      <numFmt numFmtId="0" formatCode="General"/>
    </dxf>
    <dxf>
      <numFmt numFmtId="19" formatCode="m/d/yyyy"/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0</xdr:row>
          <xdr:rowOff>0</xdr:rowOff>
        </xdr:from>
        <xdr:to>
          <xdr:col>4</xdr:col>
          <xdr:colOff>518160</xdr:colOff>
          <xdr:row>1</xdr:row>
          <xdr:rowOff>19050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</xdr:colOff>
          <xdr:row>0</xdr:row>
          <xdr:rowOff>0</xdr:rowOff>
        </xdr:from>
        <xdr:to>
          <xdr:col>4</xdr:col>
          <xdr:colOff>594360</xdr:colOff>
          <xdr:row>0</xdr:row>
          <xdr:rowOff>179070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529590</xdr:colOff>
          <xdr:row>0</xdr:row>
          <xdr:rowOff>45720</xdr:rowOff>
        </xdr:from>
        <xdr:to>
          <xdr:col>4</xdr:col>
          <xdr:colOff>971550</xdr:colOff>
          <xdr:row>1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0</xdr:row>
          <xdr:rowOff>11430</xdr:rowOff>
        </xdr:from>
        <xdr:to>
          <xdr:col>9</xdr:col>
          <xdr:colOff>617220</xdr:colOff>
          <xdr:row>0</xdr:row>
          <xdr:rowOff>293370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B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5CB000-ED62-441A-9753-2EEACC34621D}" name="WorkflowsTable" displayName="WorkflowsTable" ref="A1:B5" totalsRowShown="0">
  <autoFilter ref="A1:B5" xr:uid="{0D5CB000-ED62-441A-9753-2EEACC34621D}"/>
  <tableColumns count="2">
    <tableColumn id="1" xr3:uid="{2CD75CB4-B4FB-4F00-8D16-88E466813EF2}" name="Workflow Name"/>
    <tableColumn id="2" xr3:uid="{DFC0575D-9665-46D4-943F-EE74D7E1328F}" name="Result Sheet Prefix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0DB9FC-46B6-4658-AFB8-DF25777769FF}" name="ReconConfigTable" displayName="ReconConfigTable" ref="A1:C45" totalsRowShown="0">
  <autoFilter ref="A1:C45" xr:uid="{E30DB9FC-46B6-4658-AFB8-DF25777769FF}"/>
  <tableColumns count="3">
    <tableColumn id="1" xr3:uid="{5FAC4FBB-B6AC-44D5-B30C-907DDFB769B8}" name="Workflow"/>
    <tableColumn id="2" xr3:uid="{09AC9202-6B07-40A8-BFFC-88519053ED12}" name="Setting"/>
    <tableColumn id="3" xr3:uid="{5D84E834-4A59-4383-93F4-EDBABD7516F7}" name="Valu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85EB16AA-57F4-4622-8079-5D312F1B0EB3}" name="TransformSettingsTable" displayName="TransformSettingsTable" ref="A1:C11" totalsRowShown="0">
  <autoFilter ref="A1:C11" xr:uid="{85EB16AA-57F4-4622-8079-5D312F1B0EB3}"/>
  <tableColumns count="3">
    <tableColumn id="3" xr3:uid="{106D161C-2576-4D01-9E78-F65FC61A8770}" name="Workflow"/>
    <tableColumn id="1" xr3:uid="{10E40762-AFE1-401C-9BB6-776A1502638B}" name="Setting"/>
    <tableColumn id="2" xr3:uid="{5D4EADD0-D973-4DBA-AF18-6A44401336BA}" name="Value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651A816C-C219-4F0E-B0DD-95DBF3AFD133}" name="TransformColumnsTable" displayName="TransformColumnsTable" ref="A13:E28" totalsRowShown="0">
  <autoFilter ref="A13:E28" xr:uid="{651A816C-C219-4F0E-B0DD-95DBF3AFD133}"/>
  <tableColumns count="5">
    <tableColumn id="5" xr3:uid="{B476EF16-2179-445F-AC1E-99847BEE0E31}" name="Workflow"/>
    <tableColumn id="1" xr3:uid="{128B9236-CE30-49AA-B3ED-04EEFB1CF348}" name="Order"/>
    <tableColumn id="2" xr3:uid="{7045D9A8-02B8-4527-9E9F-171FEBF86237}" name="Target Column"/>
    <tableColumn id="3" xr3:uid="{E77B5067-5F57-4EA3-A827-F43A25CFF3B5}" name="Type"/>
    <tableColumn id="4" xr3:uid="{CBE6988D-B1DF-4AC5-9950-AB826E8AEE26}" name="Source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6B0E8-C869-4AAC-A727-B55BB7BE7B13}" name="ReconConfigTable4" displayName="ReconConfigTable4" ref="A1:C33" totalsRowShown="0">
  <autoFilter ref="A1:C33" xr:uid="{E30DB9FC-46B6-4658-AFB8-DF25777769FF}"/>
  <tableColumns count="3">
    <tableColumn id="1" xr3:uid="{344FCB07-A995-4110-A809-03B8EF12A874}" name="WorkflowName"/>
    <tableColumn id="2" xr3:uid="{0BE9531F-3678-4582-862F-551A1570D0C9}" name="Setting"/>
    <tableColumn id="3" xr3:uid="{D23043B4-19D1-44B7-8DFF-6F0F334E4430}" name="Value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DB7B2E8A-BF7A-4C0E-AAE0-978BC32CA210}" name="ActivityLogTable" displayName="ActivityLogTable" ref="A1:G175" totalsRowShown="0" headerRowDxfId="40" dataDxfId="39">
  <autoFilter ref="A1:G175" xr:uid="{DB7B2E8A-BF7A-4C0E-AAE0-978BC32CA210}"/>
  <tableColumns count="7">
    <tableColumn id="1" xr3:uid="{86057603-0B59-4727-B9F1-402FC57F3ADD}" name="Timestamp" dataDxfId="0"/>
    <tableColumn id="2" xr3:uid="{407CBD76-E900-4369-B500-2462E84AD2F2}" name="Operation" dataDxfId="1"/>
    <tableColumn id="3" xr3:uid="{0F131029-F39E-4AC2-B463-D1D9E5626947}" name="Workflow" dataDxfId="38"/>
    <tableColumn id="4" xr3:uid="{D5CE1952-DF24-4666-B97F-4075EE416DB3}" name="Details" dataDxfId="37"/>
    <tableColumn id="5" xr3:uid="{543A8991-CDDC-4C9E-B81B-17ECAEB28DFE}" name="Status" dataDxfId="36"/>
    <tableColumn id="6" xr3:uid="{CF2B62BD-8429-4C59-A817-109A9F6D4BBB}" name="Records" dataDxfId="35"/>
    <tableColumn id="7" xr3:uid="{3F5609B9-709E-4A2A-8885-1708EF552567}" name="User" dataDxfId="3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07C0AB7-0C89-4154-9C56-3701742A1BC3}" name="ReconResultsTable" displayName="ReconResultsTable" ref="A1:F13" totalsRowShown="0" headerRowDxfId="33">
  <autoFilter ref="A1:F13" xr:uid="{207C0AB7-0C89-4154-9C56-3701742A1BC3}"/>
  <tableColumns count="6">
    <tableColumn id="1" xr3:uid="{65FC369D-05CE-4F3F-8293-CAA9073938C3}" name="IsMatch"/>
    <tableColumn id="2" xr3:uid="{0A21D654-12C9-464A-8E2E-F1B8BAA0A1C6}" name="Difference" dataDxfId="32"/>
    <tableColumn id="3" xr3:uid="{0AECC2EF-105A-4073-82BC-E65F62711543}" name="ID"/>
    <tableColumn id="4" xr3:uid="{B4B6A28F-80DB-40EC-8674-0C5295C6225B}" name="Sheet1 Total" dataDxfId="31"/>
    <tableColumn id="5" xr3:uid="{5A3913BE-4AE8-4EB7-A78B-4DB7C5349ECC}" name="Sheet2 Total" dataDxfId="30"/>
    <tableColumn id="6" xr3:uid="{CAEB5F20-047E-4DFA-AFF1-F55F84DC8F74}" name="AccountNam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4AC06F6-54B8-4160-BED2-9B4335348823}" name="MatchResultsTable" displayName="MatchResultsTable" ref="A1:F17" totalsRowShown="0" headerRowDxfId="29">
  <autoFilter ref="A1:F17" xr:uid="{74AC06F6-54B8-4160-BED2-9B4335348823}"/>
  <tableColumns count="6">
    <tableColumn id="1" xr3:uid="{D6BD078E-21F5-4D8D-9F11-E18651DBF418}" name="ID"/>
    <tableColumn id="2" xr3:uid="{22700499-1D4D-4E98-A570-FF76991449CC}" name="Type"/>
    <tableColumn id="3" xr3:uid="{F8FD2567-0DAE-4967-A1AF-F76117973CE2}" name="Amount"/>
    <tableColumn id="4" xr3:uid="{058499C1-5CA2-40A4-B3AA-C3EE7A8BF8A6}" name="Sheet1 Total" dataDxfId="28"/>
    <tableColumn id="5" xr3:uid="{A5BB5F3F-24CB-4FEE-8C6B-BA9F30BA82F7}" name="Sheet2 Total" dataDxfId="27"/>
    <tableColumn id="6" xr3:uid="{81F93EEE-8F0E-4BFA-B91E-8983591AE581}" name="AccountName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9BC420E-AE9F-40FA-97F4-F974A21B376E}" name="ErrorResultsTable" displayName="ErrorResultsTable" ref="A1:E5" totalsRowShown="0" headerRowDxfId="26" dataDxfId="25">
  <autoFilter ref="A1:E5" xr:uid="{69BC420E-AE9F-40FA-97F4-F974A21B376E}"/>
  <tableColumns count="5">
    <tableColumn id="1" xr3:uid="{EB826A76-0159-4DF2-BEBF-9254C03718F9}" name="Difference" dataDxfId="24"/>
    <tableColumn id="2" xr3:uid="{5FC89816-6B40-4675-A8A5-FB7648364E5C}" name="ID" dataDxfId="23"/>
    <tableColumn id="3" xr3:uid="{9980426A-5AD2-4475-931E-5712469EF68C}" name="Sheet1 Total" dataDxfId="22"/>
    <tableColumn id="4" xr3:uid="{CFFA2284-0D5A-44BE-8974-FBA0E1E292DF}" name="Sheet2 Total" dataDxfId="21"/>
    <tableColumn id="5" xr3:uid="{0236B026-3374-41C4-9C4D-8C2D2F87BDB6}" name="AccountName" dataDxfId="20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E5DB8C8-1720-4D9E-8C9F-341151D288E8}" name="Table4" displayName="Table4" ref="A1:H17" totalsRowShown="0">
  <autoFilter ref="A1:H17" xr:uid="{5E5DB8C8-1720-4D9E-8C9F-341151D288E8}"/>
  <tableColumns count="8">
    <tableColumn id="1" xr3:uid="{0AD9C074-42E5-4AF4-801E-61D13BCCDBA0}" name="Account ID"/>
    <tableColumn id="2" xr3:uid="{A9286E07-1BE6-4B2F-8F47-A47519940D8B}" name="Account Name"/>
    <tableColumn id="3" xr3:uid="{119F8C7A-8492-4651-BFC1-5D87B559B0D0}" name="Transaction Type"/>
    <tableColumn id="4" xr3:uid="{963374BE-8C55-4EF6-BD50-08A7E9BEBAA2}" name="Amount"/>
    <tableColumn id="5" xr3:uid="{AA79D843-B331-4E8B-92A9-65C0EE2651F3}" name="Currency"/>
    <tableColumn id="6" xr3:uid="{83CF6E0B-7239-4277-BEF3-99FFE9BED83F}" name="Processing Date" dataDxfId="19"/>
    <tableColumn id="7" xr3:uid="{4C787157-09A8-4FC0-B4BE-1816401B0F24}" name="Net Amount" dataDxfId="18">
      <calculatedColumnFormula>Table4[[#This Row],[Amount]]*0.98</calculatedColumnFormula>
    </tableColumn>
    <tableColumn id="8" xr3:uid="{0533BB66-B482-4CF8-81F5-0F2E2BDB4CEB}" name="Upload Batch" dataDxfId="17">
      <calculatedColumnFormula>20260216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9A4E6BC-D725-46A5-A403-4C446B8C6DCF}" name="ReconResultsTable" displayName="ReconResultsTable_" ref="A1:F13" totalsRowShown="0" headerRowDxfId="16">
  <autoFilter ref="A1:F13" xr:uid="{B9A4E6BC-D725-46A5-A403-4C446B8C6DCF}"/>
  <tableColumns count="6">
    <tableColumn id="1" xr3:uid="{3972F944-0123-47FC-B2BB-28932B77B30C}" name="IsMatch"/>
    <tableColumn id="2" xr3:uid="{80F5BEFE-9438-4BEC-81FF-2D38DE007690}" name="Difference" dataDxfId="15"/>
    <tableColumn id="3" xr3:uid="{26C53B7C-02E8-4655-B802-4F853FAEF135}" name="ID"/>
    <tableColumn id="4" xr3:uid="{4C13DF5B-31A1-4D67-B7D8-F064C370ADDA}" name="Sheet1 Total" dataDxfId="14"/>
    <tableColumn id="5" xr3:uid="{BC94969F-1724-4825-BD6E-25E83ED5A2A5}" name="Sheet2 Total" dataDxfId="13"/>
    <tableColumn id="6" xr3:uid="{55134C26-66F6-4941-97A9-9F19EDBB05E2}" name="AccountNam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52D9164-0B9F-486A-9448-AE7C26A10045}" name="MatchResultsTable" displayName="MatchResultsTable_1" ref="A1:F17" totalsRowShown="0" headerRowDxfId="12">
  <autoFilter ref="A1:F17" xr:uid="{652D9164-0B9F-486A-9448-AE7C26A10045}"/>
  <tableColumns count="6">
    <tableColumn id="1" xr3:uid="{908E984E-B89F-4A0D-87AD-51493374C797}" name="ID"/>
    <tableColumn id="2" xr3:uid="{0E6C1A8F-9634-4F0D-BA96-194FB247CD29}" name="Type"/>
    <tableColumn id="3" xr3:uid="{73AE0C80-7F5D-47BF-ABF6-F680CEB0BF6B}" name="Amount"/>
    <tableColumn id="4" xr3:uid="{A2B93208-9BF9-43E3-8245-69C08BF5C6EB}" name="Sheet1 Total" dataDxfId="11"/>
    <tableColumn id="5" xr3:uid="{6857CF27-0555-4E75-9753-BD0B0388C364}" name="Sheet2 Total" dataDxfId="10"/>
    <tableColumn id="6" xr3:uid="{101631D1-0F99-47B1-BA3F-050B6F9B195A}" name="AccountName"/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6899B58-15CB-4240-9B70-B39A4BA1719B}" name="ErrorResultsTable" displayName="ErrorResultsTable_1" ref="A1:E5" totalsRowShown="0" headerRowDxfId="9" dataDxfId="8">
  <autoFilter ref="A1:E5" xr:uid="{C6899B58-15CB-4240-9B70-B39A4BA1719B}"/>
  <tableColumns count="5">
    <tableColumn id="1" xr3:uid="{CEEC19B3-0265-4BBB-87B5-E5FD7CFD8A4E}" name="Difference" dataDxfId="7"/>
    <tableColumn id="2" xr3:uid="{8D72A329-DBF4-4EC2-AC5C-264A3CC08752}" name="ID" dataDxfId="6"/>
    <tableColumn id="3" xr3:uid="{1E5A7DDA-0A1F-42C0-9105-6692F9EBFAB2}" name="Sheet1 Total" dataDxfId="5"/>
    <tableColumn id="4" xr3:uid="{99D74321-037E-45B5-8795-D20713F9A948}" name="Sheet2 Total" dataDxfId="4"/>
    <tableColumn id="5" xr3:uid="{4BBDFA3F-81EC-4F66-B6D6-34479AE45150}" name="AccountName" dataDxfId="3"/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AD94170-635D-4822-B623-2A8C6157B486}" name="Table9" displayName="Table9" ref="A1:G3" totalsRowShown="0">
  <autoFilter ref="A1:G3" xr:uid="{0AD94170-635D-4822-B623-2A8C6157B486}"/>
  <tableColumns count="7">
    <tableColumn id="1" xr3:uid="{70286306-E074-4547-9785-DB34B2F34F68}" name="Account ID"/>
    <tableColumn id="2" xr3:uid="{182F4B10-0425-4929-833D-C1985ED3FBD3}" name="Account Name"/>
    <tableColumn id="3" xr3:uid="{54750508-CDB0-4717-A582-71998FECA205}" name="Transaction Type"/>
    <tableColumn id="4" xr3:uid="{ADCD63A9-9267-44DB-A093-EF0B98D7007D}" name="Amount"/>
    <tableColumn id="5" xr3:uid="{C2ABC864-D9C7-49AB-8448-2B6B3133F289}" name="Currency"/>
    <tableColumn id="6" xr3:uid="{AE5D6748-2E7B-432C-A160-DA809F7FD3BC}" name="Processing Date" dataDxfId="2"/>
    <tableColumn id="7" xr3:uid="{1185D260-0837-40CF-8C73-6F5170501C28}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5C28-AA7B-4CA3-93E9-CC872895E754}">
  <sheetPr codeName="Sheet7"/>
  <dimension ref="A1:A7"/>
  <sheetViews>
    <sheetView workbookViewId="0">
      <selection activeCell="A4" sqref="A4"/>
    </sheetView>
  </sheetViews>
  <sheetFormatPr defaultRowHeight="14.4" x14ac:dyDescent="0.55000000000000004"/>
  <cols>
    <col min="1" max="1" width="95.68359375" bestFit="1" customWidth="1"/>
  </cols>
  <sheetData>
    <row r="1" spans="1:1" x14ac:dyDescent="0.55000000000000004">
      <c r="A1" t="s">
        <v>163</v>
      </c>
    </row>
    <row r="2" spans="1:1" x14ac:dyDescent="0.55000000000000004">
      <c r="A2" t="s">
        <v>18</v>
      </c>
    </row>
    <row r="3" spans="1:1" x14ac:dyDescent="0.55000000000000004">
      <c r="A3" t="s">
        <v>188</v>
      </c>
    </row>
    <row r="4" spans="1:1" x14ac:dyDescent="0.55000000000000004">
      <c r="A4" t="s">
        <v>164</v>
      </c>
    </row>
    <row r="5" spans="1:1" x14ac:dyDescent="0.55000000000000004">
      <c r="A5" t="s">
        <v>165</v>
      </c>
    </row>
    <row r="6" spans="1:1" x14ac:dyDescent="0.55000000000000004">
      <c r="A6" t="s">
        <v>166</v>
      </c>
    </row>
    <row r="7" spans="1:1" x14ac:dyDescent="0.55000000000000004">
      <c r="A7" t="s">
        <v>167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C62EB-83DF-44E5-87E9-1E02BF8BDDB9}">
  <sheetPr codeName="Sheet12"/>
  <dimension ref="A1:B5"/>
  <sheetViews>
    <sheetView workbookViewId="0">
      <pane ySplit="1" topLeftCell="A2" activePane="bottomLeft" state="frozen"/>
      <selection pane="bottomLeft" activeCell="B5" sqref="B5"/>
    </sheetView>
  </sheetViews>
  <sheetFormatPr defaultRowHeight="14.4" x14ac:dyDescent="0.55000000000000004"/>
  <cols>
    <col min="1" max="1" width="18.05078125" bestFit="1" customWidth="1"/>
    <col min="2" max="2" width="24.3671875" bestFit="1" customWidth="1"/>
  </cols>
  <sheetData>
    <row r="1" spans="1:2" x14ac:dyDescent="0.55000000000000004">
      <c r="A1" t="s">
        <v>76</v>
      </c>
      <c r="B1" t="s">
        <v>77</v>
      </c>
    </row>
    <row r="2" spans="1:2" x14ac:dyDescent="0.55000000000000004">
      <c r="A2" t="s">
        <v>78</v>
      </c>
      <c r="B2" t="s">
        <v>66</v>
      </c>
    </row>
    <row r="3" spans="1:2" x14ac:dyDescent="0.55000000000000004">
      <c r="A3" t="s">
        <v>79</v>
      </c>
      <c r="B3" t="s">
        <v>71</v>
      </c>
    </row>
    <row r="4" spans="1:2" x14ac:dyDescent="0.55000000000000004">
      <c r="A4" t="s">
        <v>80</v>
      </c>
      <c r="B4" t="s">
        <v>65</v>
      </c>
    </row>
    <row r="5" spans="1:2" x14ac:dyDescent="0.55000000000000004">
      <c r="A5" t="s">
        <v>183</v>
      </c>
      <c r="B5" t="s">
        <v>184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ShowReconForm">
                <anchor moveWithCells="1" sizeWithCells="1">
                  <from>
                    <xdr:col>2</xdr:col>
                    <xdr:colOff>609600</xdr:colOff>
                    <xdr:row>0</xdr:row>
                    <xdr:rowOff>0</xdr:rowOff>
                  </from>
                  <to>
                    <xdr:col>4</xdr:col>
                    <xdr:colOff>518160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100E9-3316-4924-B0AB-DE11199EA2AC}">
  <sheetPr codeName="Sheet1"/>
  <dimension ref="A1:C45"/>
  <sheetViews>
    <sheetView workbookViewId="0">
      <pane ySplit="1" topLeftCell="A19" activePane="bottomLeft" state="frozen"/>
      <selection pane="bottomLeft" activeCell="B36" sqref="B36"/>
    </sheetView>
  </sheetViews>
  <sheetFormatPr defaultRowHeight="14.4" x14ac:dyDescent="0.55000000000000004"/>
  <cols>
    <col min="1" max="1" width="12" bestFit="1" customWidth="1"/>
    <col min="2" max="2" width="22" bestFit="1" customWidth="1"/>
    <col min="3" max="3" width="31.5234375" bestFit="1" customWidth="1"/>
  </cols>
  <sheetData>
    <row r="1" spans="1:3" x14ac:dyDescent="0.55000000000000004">
      <c r="A1" t="s">
        <v>26</v>
      </c>
      <c r="B1" t="s">
        <v>2</v>
      </c>
      <c r="C1" t="s">
        <v>1</v>
      </c>
    </row>
    <row r="2" spans="1:3" x14ac:dyDescent="0.55000000000000004">
      <c r="A2" t="s">
        <v>78</v>
      </c>
      <c r="B2" t="s">
        <v>20</v>
      </c>
      <c r="C2" t="s">
        <v>81</v>
      </c>
    </row>
    <row r="3" spans="1:3" x14ac:dyDescent="0.55000000000000004">
      <c r="A3" t="s">
        <v>78</v>
      </c>
      <c r="B3" t="s">
        <v>21</v>
      </c>
      <c r="C3" t="s">
        <v>81</v>
      </c>
    </row>
    <row r="4" spans="1:3" x14ac:dyDescent="0.55000000000000004">
      <c r="A4" t="s">
        <v>78</v>
      </c>
      <c r="B4" t="s">
        <v>22</v>
      </c>
      <c r="C4" t="s">
        <v>13</v>
      </c>
    </row>
    <row r="5" spans="1:3" x14ac:dyDescent="0.55000000000000004">
      <c r="A5" t="s">
        <v>78</v>
      </c>
      <c r="B5" t="s">
        <v>23</v>
      </c>
      <c r="C5" t="s">
        <v>13</v>
      </c>
    </row>
    <row r="6" spans="1:3" x14ac:dyDescent="0.55000000000000004">
      <c r="A6" t="s">
        <v>78</v>
      </c>
      <c r="B6" t="s">
        <v>62</v>
      </c>
      <c r="C6" t="s">
        <v>107</v>
      </c>
    </row>
    <row r="7" spans="1:3" x14ac:dyDescent="0.55000000000000004">
      <c r="A7" t="s">
        <v>78</v>
      </c>
      <c r="B7" t="s">
        <v>63</v>
      </c>
      <c r="C7" t="s">
        <v>158</v>
      </c>
    </row>
    <row r="8" spans="1:3" x14ac:dyDescent="0.55000000000000004">
      <c r="A8" t="s">
        <v>78</v>
      </c>
      <c r="B8" t="s">
        <v>46</v>
      </c>
      <c r="C8" t="s">
        <v>82</v>
      </c>
    </row>
    <row r="9" spans="1:3" x14ac:dyDescent="0.55000000000000004">
      <c r="A9" t="s">
        <v>78</v>
      </c>
      <c r="B9" t="s">
        <v>47</v>
      </c>
      <c r="C9" t="s">
        <v>82</v>
      </c>
    </row>
    <row r="10" spans="1:3" x14ac:dyDescent="0.55000000000000004">
      <c r="A10" t="s">
        <v>78</v>
      </c>
      <c r="B10" t="s">
        <v>15</v>
      </c>
      <c r="C10">
        <v>0.05</v>
      </c>
    </row>
    <row r="11" spans="1:3" x14ac:dyDescent="0.55000000000000004">
      <c r="A11" t="s">
        <v>78</v>
      </c>
      <c r="B11" t="s">
        <v>53</v>
      </c>
      <c r="C11" t="s">
        <v>54</v>
      </c>
    </row>
    <row r="12" spans="1:3" x14ac:dyDescent="0.55000000000000004">
      <c r="A12" t="s">
        <v>78</v>
      </c>
      <c r="B12" t="s">
        <v>16</v>
      </c>
      <c r="C12" t="s">
        <v>83</v>
      </c>
    </row>
    <row r="13" spans="1:3" x14ac:dyDescent="0.55000000000000004">
      <c r="A13" t="s">
        <v>79</v>
      </c>
      <c r="B13" t="s">
        <v>20</v>
      </c>
      <c r="C13" t="s">
        <v>81</v>
      </c>
    </row>
    <row r="14" spans="1:3" x14ac:dyDescent="0.55000000000000004">
      <c r="A14" t="s">
        <v>79</v>
      </c>
      <c r="B14" t="s">
        <v>21</v>
      </c>
      <c r="C14" t="s">
        <v>81</v>
      </c>
    </row>
    <row r="15" spans="1:3" x14ac:dyDescent="0.55000000000000004">
      <c r="A15" t="s">
        <v>79</v>
      </c>
      <c r="B15" t="s">
        <v>22</v>
      </c>
      <c r="C15" t="s">
        <v>84</v>
      </c>
    </row>
    <row r="16" spans="1:3" x14ac:dyDescent="0.55000000000000004">
      <c r="A16" t="s">
        <v>79</v>
      </c>
      <c r="B16" t="s">
        <v>23</v>
      </c>
      <c r="C16" t="s">
        <v>85</v>
      </c>
    </row>
    <row r="17" spans="1:3" x14ac:dyDescent="0.55000000000000004">
      <c r="A17" t="s">
        <v>79</v>
      </c>
      <c r="B17" t="s">
        <v>62</v>
      </c>
      <c r="C17" t="s">
        <v>86</v>
      </c>
    </row>
    <row r="18" spans="1:3" x14ac:dyDescent="0.55000000000000004">
      <c r="A18" t="s">
        <v>79</v>
      </c>
      <c r="B18" t="s">
        <v>63</v>
      </c>
      <c r="C18" t="s">
        <v>87</v>
      </c>
    </row>
    <row r="19" spans="1:3" x14ac:dyDescent="0.55000000000000004">
      <c r="A19" t="s">
        <v>79</v>
      </c>
      <c r="B19" t="s">
        <v>46</v>
      </c>
      <c r="C19" t="s">
        <v>88</v>
      </c>
    </row>
    <row r="20" spans="1:3" x14ac:dyDescent="0.55000000000000004">
      <c r="A20" t="s">
        <v>79</v>
      </c>
      <c r="B20" t="s">
        <v>47</v>
      </c>
      <c r="C20" t="s">
        <v>89</v>
      </c>
    </row>
    <row r="21" spans="1:3" x14ac:dyDescent="0.55000000000000004">
      <c r="A21" t="s">
        <v>79</v>
      </c>
      <c r="B21" t="s">
        <v>15</v>
      </c>
      <c r="C21">
        <v>0.05</v>
      </c>
    </row>
    <row r="22" spans="1:3" x14ac:dyDescent="0.55000000000000004">
      <c r="A22" t="s">
        <v>79</v>
      </c>
      <c r="B22" t="s">
        <v>53</v>
      </c>
      <c r="C22" t="s">
        <v>90</v>
      </c>
    </row>
    <row r="23" spans="1:3" x14ac:dyDescent="0.55000000000000004">
      <c r="A23" t="s">
        <v>79</v>
      </c>
      <c r="B23" t="s">
        <v>16</v>
      </c>
      <c r="C23" t="s">
        <v>91</v>
      </c>
    </row>
    <row r="24" spans="1:3" x14ac:dyDescent="0.55000000000000004">
      <c r="A24" t="s">
        <v>80</v>
      </c>
      <c r="B24" t="s">
        <v>20</v>
      </c>
      <c r="C24" t="s">
        <v>81</v>
      </c>
    </row>
    <row r="25" spans="1:3" x14ac:dyDescent="0.55000000000000004">
      <c r="A25" t="s">
        <v>80</v>
      </c>
      <c r="B25" t="s">
        <v>21</v>
      </c>
      <c r="C25" t="s">
        <v>92</v>
      </c>
    </row>
    <row r="26" spans="1:3" x14ac:dyDescent="0.55000000000000004">
      <c r="A26" t="s">
        <v>80</v>
      </c>
      <c r="B26" t="s">
        <v>22</v>
      </c>
      <c r="C26" t="s">
        <v>93</v>
      </c>
    </row>
    <row r="27" spans="1:3" x14ac:dyDescent="0.55000000000000004">
      <c r="A27" t="s">
        <v>80</v>
      </c>
      <c r="B27" t="s">
        <v>23</v>
      </c>
      <c r="C27" t="s">
        <v>94</v>
      </c>
    </row>
    <row r="28" spans="1:3" x14ac:dyDescent="0.55000000000000004">
      <c r="A28" t="s">
        <v>80</v>
      </c>
      <c r="B28" t="s">
        <v>62</v>
      </c>
      <c r="C28" t="s">
        <v>95</v>
      </c>
    </row>
    <row r="29" spans="1:3" x14ac:dyDescent="0.55000000000000004">
      <c r="A29" t="s">
        <v>80</v>
      </c>
      <c r="B29" t="s">
        <v>63</v>
      </c>
      <c r="C29" t="s">
        <v>95</v>
      </c>
    </row>
    <row r="30" spans="1:3" x14ac:dyDescent="0.55000000000000004">
      <c r="A30" t="s">
        <v>80</v>
      </c>
      <c r="B30" t="s">
        <v>46</v>
      </c>
      <c r="C30" t="s">
        <v>96</v>
      </c>
    </row>
    <row r="31" spans="1:3" x14ac:dyDescent="0.55000000000000004">
      <c r="A31" t="s">
        <v>80</v>
      </c>
      <c r="B31" t="s">
        <v>47</v>
      </c>
      <c r="C31" t="s">
        <v>97</v>
      </c>
    </row>
    <row r="32" spans="1:3" x14ac:dyDescent="0.55000000000000004">
      <c r="A32" t="s">
        <v>80</v>
      </c>
      <c r="B32" t="s">
        <v>15</v>
      </c>
      <c r="C32">
        <v>1E-3</v>
      </c>
    </row>
    <row r="33" spans="1:3" x14ac:dyDescent="0.55000000000000004">
      <c r="A33" t="s">
        <v>80</v>
      </c>
      <c r="B33" t="s">
        <v>53</v>
      </c>
      <c r="C33" t="s">
        <v>54</v>
      </c>
    </row>
    <row r="34" spans="1:3" x14ac:dyDescent="0.55000000000000004">
      <c r="A34" t="s">
        <v>80</v>
      </c>
      <c r="B34" t="s">
        <v>16</v>
      </c>
      <c r="C34" t="s">
        <v>98</v>
      </c>
    </row>
    <row r="35" spans="1:3" x14ac:dyDescent="0.55000000000000004">
      <c r="A35" t="s">
        <v>183</v>
      </c>
      <c r="B35" t="s">
        <v>20</v>
      </c>
      <c r="C35" t="s">
        <v>81</v>
      </c>
    </row>
    <row r="36" spans="1:3" x14ac:dyDescent="0.55000000000000004">
      <c r="A36" t="s">
        <v>183</v>
      </c>
      <c r="B36" t="s">
        <v>21</v>
      </c>
      <c r="C36" t="s">
        <v>81</v>
      </c>
    </row>
    <row r="37" spans="1:3" x14ac:dyDescent="0.55000000000000004">
      <c r="A37" t="s">
        <v>183</v>
      </c>
      <c r="B37" t="s">
        <v>22</v>
      </c>
      <c r="C37" t="s">
        <v>13</v>
      </c>
    </row>
    <row r="38" spans="1:3" x14ac:dyDescent="0.55000000000000004">
      <c r="A38" t="s">
        <v>183</v>
      </c>
      <c r="B38" t="s">
        <v>23</v>
      </c>
      <c r="C38" t="s">
        <v>13</v>
      </c>
    </row>
    <row r="39" spans="1:3" x14ac:dyDescent="0.55000000000000004">
      <c r="A39" t="s">
        <v>183</v>
      </c>
      <c r="B39" t="s">
        <v>62</v>
      </c>
      <c r="C39" t="s">
        <v>107</v>
      </c>
    </row>
    <row r="40" spans="1:3" x14ac:dyDescent="0.55000000000000004">
      <c r="A40" t="s">
        <v>183</v>
      </c>
      <c r="B40" t="s">
        <v>63</v>
      </c>
      <c r="C40" t="s">
        <v>158</v>
      </c>
    </row>
    <row r="41" spans="1:3" x14ac:dyDescent="0.55000000000000004">
      <c r="A41" t="s">
        <v>183</v>
      </c>
      <c r="B41" t="s">
        <v>46</v>
      </c>
      <c r="C41" t="s">
        <v>82</v>
      </c>
    </row>
    <row r="42" spans="1:3" x14ac:dyDescent="0.55000000000000004">
      <c r="A42" t="s">
        <v>183</v>
      </c>
      <c r="B42" t="s">
        <v>47</v>
      </c>
      <c r="C42" t="s">
        <v>82</v>
      </c>
    </row>
    <row r="43" spans="1:3" x14ac:dyDescent="0.55000000000000004">
      <c r="A43" t="s">
        <v>183</v>
      </c>
      <c r="B43" t="s">
        <v>15</v>
      </c>
      <c r="C43">
        <v>0.05</v>
      </c>
    </row>
    <row r="44" spans="1:3" x14ac:dyDescent="0.55000000000000004">
      <c r="A44" t="s">
        <v>183</v>
      </c>
      <c r="B44" t="s">
        <v>53</v>
      </c>
      <c r="C44" t="s">
        <v>54</v>
      </c>
    </row>
    <row r="45" spans="1:3" x14ac:dyDescent="0.55000000000000004">
      <c r="A45" t="s">
        <v>183</v>
      </c>
      <c r="B45" t="s">
        <v>16</v>
      </c>
      <c r="C45" t="s">
        <v>83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ReconForm">
                <anchor moveWithCells="1" sizeWithCells="1">
                  <from>
                    <xdr:col>3</xdr:col>
                    <xdr:colOff>45720</xdr:colOff>
                    <xdr:row>0</xdr:row>
                    <xdr:rowOff>0</xdr:rowOff>
                  </from>
                  <to>
                    <xdr:col>4</xdr:col>
                    <xdr:colOff>594360</xdr:colOff>
                    <xdr:row>0</xdr:row>
                    <xdr:rowOff>179070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4F63A-F07C-4398-B840-552FC306EA58}">
  <sheetPr codeName="Sheet8"/>
  <dimension ref="A1:E28"/>
  <sheetViews>
    <sheetView workbookViewId="0">
      <selection activeCell="C11" sqref="C11"/>
    </sheetView>
  </sheetViews>
  <sheetFormatPr defaultRowHeight="14.4" x14ac:dyDescent="0.55000000000000004"/>
  <cols>
    <col min="1" max="1" width="13.62890625" bestFit="1" customWidth="1"/>
    <col min="2" max="3" width="22.05078125" bestFit="1" customWidth="1"/>
    <col min="4" max="4" width="14" bestFit="1" customWidth="1"/>
  </cols>
  <sheetData>
    <row r="1" spans="1:5" x14ac:dyDescent="0.55000000000000004">
      <c r="A1" t="s">
        <v>26</v>
      </c>
      <c r="B1" t="s">
        <v>2</v>
      </c>
      <c r="C1" t="s">
        <v>1</v>
      </c>
    </row>
    <row r="2" spans="1:5" x14ac:dyDescent="0.55000000000000004">
      <c r="B2" t="s">
        <v>99</v>
      </c>
      <c r="C2" t="s">
        <v>100</v>
      </c>
    </row>
    <row r="3" spans="1:5" x14ac:dyDescent="0.55000000000000004">
      <c r="B3" t="s">
        <v>7</v>
      </c>
      <c r="C3" t="s">
        <v>14</v>
      </c>
    </row>
    <row r="4" spans="1:5" x14ac:dyDescent="0.55000000000000004">
      <c r="B4" t="s">
        <v>8</v>
      </c>
      <c r="C4" t="s">
        <v>101</v>
      </c>
    </row>
    <row r="5" spans="1:5" x14ac:dyDescent="0.55000000000000004">
      <c r="B5" t="s">
        <v>102</v>
      </c>
    </row>
    <row r="6" spans="1:5" x14ac:dyDescent="0.55000000000000004">
      <c r="B6" t="s">
        <v>16</v>
      </c>
      <c r="C6" t="s">
        <v>103</v>
      </c>
    </row>
    <row r="7" spans="1:5" x14ac:dyDescent="0.55000000000000004">
      <c r="A7" t="s">
        <v>183</v>
      </c>
      <c r="B7" t="s">
        <v>99</v>
      </c>
      <c r="C7" t="s">
        <v>100</v>
      </c>
    </row>
    <row r="8" spans="1:5" x14ac:dyDescent="0.55000000000000004">
      <c r="A8" t="s">
        <v>183</v>
      </c>
      <c r="B8" t="s">
        <v>7</v>
      </c>
      <c r="C8" t="s">
        <v>14</v>
      </c>
    </row>
    <row r="9" spans="1:5" x14ac:dyDescent="0.55000000000000004">
      <c r="A9" t="s">
        <v>183</v>
      </c>
      <c r="B9" t="s">
        <v>8</v>
      </c>
      <c r="C9" t="s">
        <v>101</v>
      </c>
    </row>
    <row r="10" spans="1:5" x14ac:dyDescent="0.55000000000000004">
      <c r="A10" t="s">
        <v>183</v>
      </c>
      <c r="B10" t="s">
        <v>102</v>
      </c>
      <c r="C10" t="s">
        <v>186</v>
      </c>
    </row>
    <row r="11" spans="1:5" x14ac:dyDescent="0.55000000000000004">
      <c r="A11" t="s">
        <v>183</v>
      </c>
      <c r="B11" t="s">
        <v>16</v>
      </c>
      <c r="C11" t="s">
        <v>103</v>
      </c>
    </row>
    <row r="13" spans="1:5" x14ac:dyDescent="0.55000000000000004">
      <c r="A13" t="s">
        <v>26</v>
      </c>
      <c r="B13" t="s">
        <v>9</v>
      </c>
      <c r="C13" t="s">
        <v>10</v>
      </c>
      <c r="D13" t="s">
        <v>11</v>
      </c>
      <c r="E13" t="s">
        <v>12</v>
      </c>
    </row>
    <row r="14" spans="1:5" x14ac:dyDescent="0.55000000000000004">
      <c r="A14" t="s">
        <v>78</v>
      </c>
      <c r="B14">
        <v>1</v>
      </c>
      <c r="C14" t="s">
        <v>104</v>
      </c>
      <c r="D14" t="s">
        <v>105</v>
      </c>
      <c r="E14" t="s">
        <v>0</v>
      </c>
    </row>
    <row r="15" spans="1:5" x14ac:dyDescent="0.55000000000000004">
      <c r="A15" t="s">
        <v>78</v>
      </c>
      <c r="B15">
        <v>2</v>
      </c>
      <c r="C15" t="s">
        <v>106</v>
      </c>
      <c r="D15" t="s">
        <v>105</v>
      </c>
      <c r="E15" t="s">
        <v>107</v>
      </c>
    </row>
    <row r="16" spans="1:5" x14ac:dyDescent="0.55000000000000004">
      <c r="A16" t="s">
        <v>78</v>
      </c>
      <c r="B16">
        <v>3</v>
      </c>
      <c r="C16" t="s">
        <v>108</v>
      </c>
      <c r="D16" t="s">
        <v>105</v>
      </c>
      <c r="E16" t="s">
        <v>11</v>
      </c>
    </row>
    <row r="17" spans="1:5" x14ac:dyDescent="0.55000000000000004">
      <c r="A17" t="s">
        <v>78</v>
      </c>
      <c r="B17">
        <v>4</v>
      </c>
      <c r="C17" t="s">
        <v>13</v>
      </c>
      <c r="D17" t="s">
        <v>105</v>
      </c>
      <c r="E17" t="s">
        <v>13</v>
      </c>
    </row>
    <row r="18" spans="1:5" x14ac:dyDescent="0.55000000000000004">
      <c r="A18" t="s">
        <v>78</v>
      </c>
      <c r="B18">
        <v>5</v>
      </c>
      <c r="C18" t="s">
        <v>109</v>
      </c>
      <c r="D18" t="s">
        <v>110</v>
      </c>
      <c r="E18" t="s">
        <v>111</v>
      </c>
    </row>
    <row r="19" spans="1:5" x14ac:dyDescent="0.55000000000000004">
      <c r="A19" t="s">
        <v>78</v>
      </c>
      <c r="B19">
        <v>6</v>
      </c>
      <c r="C19" t="s">
        <v>112</v>
      </c>
      <c r="D19" t="s">
        <v>110</v>
      </c>
      <c r="E19" s="5">
        <f ca="1">TODAY()</f>
        <v>46070</v>
      </c>
    </row>
    <row r="20" spans="1:5" x14ac:dyDescent="0.55000000000000004">
      <c r="A20" t="s">
        <v>78</v>
      </c>
      <c r="B20">
        <v>7</v>
      </c>
      <c r="C20" t="s">
        <v>113</v>
      </c>
      <c r="D20" t="s">
        <v>114</v>
      </c>
      <c r="E20" t="s">
        <v>115</v>
      </c>
    </row>
    <row r="21" spans="1:5" x14ac:dyDescent="0.55000000000000004">
      <c r="A21" t="s">
        <v>78</v>
      </c>
      <c r="B21">
        <v>8</v>
      </c>
      <c r="C21" t="s">
        <v>116</v>
      </c>
      <c r="D21" t="s">
        <v>114</v>
      </c>
      <c r="E21" t="str">
        <f ca="1">TEXT(TODAY(),"YYYYMMDD")</f>
        <v>20260217</v>
      </c>
    </row>
    <row r="22" spans="1:5" x14ac:dyDescent="0.55000000000000004">
      <c r="A22" t="s">
        <v>183</v>
      </c>
      <c r="B22">
        <v>1</v>
      </c>
      <c r="C22" t="s">
        <v>104</v>
      </c>
      <c r="D22" t="s">
        <v>105</v>
      </c>
      <c r="E22" t="s">
        <v>0</v>
      </c>
    </row>
    <row r="23" spans="1:5" x14ac:dyDescent="0.55000000000000004">
      <c r="A23" t="s">
        <v>183</v>
      </c>
      <c r="B23">
        <v>2</v>
      </c>
      <c r="C23" t="s">
        <v>106</v>
      </c>
      <c r="D23" t="s">
        <v>105</v>
      </c>
      <c r="E23" t="s">
        <v>107</v>
      </c>
    </row>
    <row r="24" spans="1:5" x14ac:dyDescent="0.55000000000000004">
      <c r="A24" t="s">
        <v>183</v>
      </c>
      <c r="B24">
        <v>3</v>
      </c>
      <c r="C24" t="s">
        <v>108</v>
      </c>
      <c r="D24" t="s">
        <v>105</v>
      </c>
      <c r="E24" t="s">
        <v>11</v>
      </c>
    </row>
    <row r="25" spans="1:5" x14ac:dyDescent="0.55000000000000004">
      <c r="A25" t="s">
        <v>183</v>
      </c>
      <c r="B25">
        <v>4</v>
      </c>
      <c r="C25" t="s">
        <v>13</v>
      </c>
      <c r="D25" t="s">
        <v>105</v>
      </c>
      <c r="E25" t="s">
        <v>13</v>
      </c>
    </row>
    <row r="26" spans="1:5" x14ac:dyDescent="0.55000000000000004">
      <c r="A26" t="s">
        <v>183</v>
      </c>
      <c r="B26">
        <v>5</v>
      </c>
      <c r="C26" t="s">
        <v>109</v>
      </c>
      <c r="D26" t="s">
        <v>110</v>
      </c>
      <c r="E26" t="s">
        <v>111</v>
      </c>
    </row>
    <row r="27" spans="1:5" x14ac:dyDescent="0.55000000000000004">
      <c r="A27" t="s">
        <v>183</v>
      </c>
      <c r="B27">
        <v>6</v>
      </c>
      <c r="C27" t="s">
        <v>112</v>
      </c>
      <c r="D27" t="s">
        <v>110</v>
      </c>
      <c r="E27" s="5">
        <f ca="1">TODAY()</f>
        <v>46070</v>
      </c>
    </row>
    <row r="28" spans="1:5" x14ac:dyDescent="0.55000000000000004">
      <c r="A28" t="s">
        <v>183</v>
      </c>
      <c r="B28">
        <v>8</v>
      </c>
      <c r="C28" t="s">
        <v>116</v>
      </c>
      <c r="D28" t="s">
        <v>114</v>
      </c>
      <c r="E28" t="str">
        <f ca="1">TEXT(TODAY(),"YYYYMMDD")</f>
        <v>20260217</v>
      </c>
    </row>
  </sheetData>
  <phoneticPr fontId="2" type="noConversion"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owReconForm">
                <anchor moveWithCells="1" sizeWithCells="1">
                  <from>
                    <xdr:col>3</xdr:col>
                    <xdr:colOff>529590</xdr:colOff>
                    <xdr:row>0</xdr:row>
                    <xdr:rowOff>45720</xdr:rowOff>
                  </from>
                  <to>
                    <xdr:col>4</xdr:col>
                    <xdr:colOff>971550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FF5B-9546-48C8-9F41-F4EDF2C67CDB}">
  <sheetPr codeName="Sheet10"/>
  <dimension ref="A1:C33"/>
  <sheetViews>
    <sheetView topLeftCell="A13" workbookViewId="0">
      <selection activeCell="C22" sqref="C22"/>
    </sheetView>
  </sheetViews>
  <sheetFormatPr defaultRowHeight="14.4" x14ac:dyDescent="0.55000000000000004"/>
  <cols>
    <col min="1" max="1" width="22" bestFit="1" customWidth="1"/>
    <col min="2" max="2" width="36.1015625" bestFit="1" customWidth="1"/>
    <col min="3" max="3" width="26.578125" bestFit="1" customWidth="1"/>
  </cols>
  <sheetData>
    <row r="1" spans="1:3" x14ac:dyDescent="0.55000000000000004">
      <c r="A1" t="s">
        <v>41</v>
      </c>
      <c r="B1" t="s">
        <v>2</v>
      </c>
      <c r="C1" t="s">
        <v>1</v>
      </c>
    </row>
    <row r="2" spans="1:3" x14ac:dyDescent="0.55000000000000004">
      <c r="A2" t="s">
        <v>42</v>
      </c>
      <c r="B2" t="s">
        <v>20</v>
      </c>
      <c r="C2" t="s">
        <v>0</v>
      </c>
    </row>
    <row r="3" spans="1:3" x14ac:dyDescent="0.55000000000000004">
      <c r="A3" t="s">
        <v>42</v>
      </c>
      <c r="B3" t="s">
        <v>21</v>
      </c>
      <c r="C3" t="s">
        <v>0</v>
      </c>
    </row>
    <row r="4" spans="1:3" x14ac:dyDescent="0.55000000000000004">
      <c r="A4" t="s">
        <v>42</v>
      </c>
      <c r="B4" t="s">
        <v>22</v>
      </c>
      <c r="C4" t="s">
        <v>13</v>
      </c>
    </row>
    <row r="5" spans="1:3" x14ac:dyDescent="0.55000000000000004">
      <c r="A5" t="s">
        <v>42</v>
      </c>
      <c r="B5" t="s">
        <v>23</v>
      </c>
      <c r="C5" t="s">
        <v>13</v>
      </c>
    </row>
    <row r="6" spans="1:3" x14ac:dyDescent="0.55000000000000004">
      <c r="A6" t="s">
        <v>42</v>
      </c>
      <c r="B6" t="s">
        <v>46</v>
      </c>
    </row>
    <row r="7" spans="1:3" x14ac:dyDescent="0.55000000000000004">
      <c r="A7" t="s">
        <v>42</v>
      </c>
      <c r="B7" t="s">
        <v>47</v>
      </c>
    </row>
    <row r="8" spans="1:3" x14ac:dyDescent="0.55000000000000004">
      <c r="A8" t="s">
        <v>42</v>
      </c>
      <c r="B8" t="s">
        <v>15</v>
      </c>
      <c r="C8">
        <v>0.03</v>
      </c>
    </row>
    <row r="9" spans="1:3" x14ac:dyDescent="0.55000000000000004">
      <c r="A9" t="s">
        <v>42</v>
      </c>
      <c r="B9" t="s">
        <v>16</v>
      </c>
      <c r="C9" t="s">
        <v>17</v>
      </c>
    </row>
    <row r="10" spans="1:3" x14ac:dyDescent="0.55000000000000004">
      <c r="A10" t="s">
        <v>43</v>
      </c>
      <c r="B10" t="s">
        <v>20</v>
      </c>
      <c r="C10" t="s">
        <v>0</v>
      </c>
    </row>
    <row r="11" spans="1:3" x14ac:dyDescent="0.55000000000000004">
      <c r="A11" t="s">
        <v>43</v>
      </c>
      <c r="B11" t="s">
        <v>21</v>
      </c>
      <c r="C11" t="s">
        <v>0</v>
      </c>
    </row>
    <row r="12" spans="1:3" x14ac:dyDescent="0.55000000000000004">
      <c r="A12" t="s">
        <v>43</v>
      </c>
      <c r="B12" t="s">
        <v>22</v>
      </c>
      <c r="C12" t="s">
        <v>13</v>
      </c>
    </row>
    <row r="13" spans="1:3" x14ac:dyDescent="0.55000000000000004">
      <c r="A13" t="s">
        <v>43</v>
      </c>
      <c r="B13" t="s">
        <v>23</v>
      </c>
      <c r="C13" t="s">
        <v>13</v>
      </c>
    </row>
    <row r="14" spans="1:3" x14ac:dyDescent="0.55000000000000004">
      <c r="A14" t="s">
        <v>43</v>
      </c>
      <c r="B14" t="s">
        <v>46</v>
      </c>
      <c r="C14" t="s">
        <v>49</v>
      </c>
    </row>
    <row r="15" spans="1:3" x14ac:dyDescent="0.55000000000000004">
      <c r="A15" t="s">
        <v>43</v>
      </c>
      <c r="B15" t="s">
        <v>47</v>
      </c>
      <c r="C15" t="s">
        <v>49</v>
      </c>
    </row>
    <row r="16" spans="1:3" x14ac:dyDescent="0.55000000000000004">
      <c r="A16" t="s">
        <v>43</v>
      </c>
      <c r="B16" t="s">
        <v>15</v>
      </c>
      <c r="C16">
        <v>0.03</v>
      </c>
    </row>
    <row r="17" spans="1:3" x14ac:dyDescent="0.55000000000000004">
      <c r="A17" t="s">
        <v>43</v>
      </c>
      <c r="B17" t="s">
        <v>16</v>
      </c>
      <c r="C17" t="s">
        <v>17</v>
      </c>
    </row>
    <row r="18" spans="1:3" x14ac:dyDescent="0.55000000000000004">
      <c r="A18" t="s">
        <v>44</v>
      </c>
      <c r="B18" t="s">
        <v>20</v>
      </c>
      <c r="C18" t="s">
        <v>0</v>
      </c>
    </row>
    <row r="19" spans="1:3" x14ac:dyDescent="0.55000000000000004">
      <c r="A19" t="s">
        <v>44</v>
      </c>
      <c r="B19" t="s">
        <v>21</v>
      </c>
      <c r="C19" t="s">
        <v>0</v>
      </c>
    </row>
    <row r="20" spans="1:3" x14ac:dyDescent="0.55000000000000004">
      <c r="A20" t="s">
        <v>44</v>
      </c>
      <c r="B20" t="s">
        <v>22</v>
      </c>
      <c r="C20" t="s">
        <v>13</v>
      </c>
    </row>
    <row r="21" spans="1:3" x14ac:dyDescent="0.55000000000000004">
      <c r="A21" t="s">
        <v>44</v>
      </c>
      <c r="B21" t="s">
        <v>23</v>
      </c>
      <c r="C21" t="s">
        <v>13</v>
      </c>
    </row>
    <row r="22" spans="1:3" x14ac:dyDescent="0.55000000000000004">
      <c r="A22" t="s">
        <v>44</v>
      </c>
      <c r="B22" t="s">
        <v>46</v>
      </c>
      <c r="C22" t="s">
        <v>72</v>
      </c>
    </row>
    <row r="23" spans="1:3" x14ac:dyDescent="0.55000000000000004">
      <c r="A23" t="s">
        <v>44</v>
      </c>
      <c r="B23" t="s">
        <v>47</v>
      </c>
      <c r="C23" t="s">
        <v>48</v>
      </c>
    </row>
    <row r="24" spans="1:3" x14ac:dyDescent="0.55000000000000004">
      <c r="A24" t="s">
        <v>44</v>
      </c>
      <c r="B24" t="s">
        <v>15</v>
      </c>
      <c r="C24">
        <v>0.03</v>
      </c>
    </row>
    <row r="25" spans="1:3" x14ac:dyDescent="0.55000000000000004">
      <c r="A25" t="s">
        <v>44</v>
      </c>
      <c r="B25" t="s">
        <v>16</v>
      </c>
      <c r="C25" t="s">
        <v>17</v>
      </c>
    </row>
    <row r="26" spans="1:3" x14ac:dyDescent="0.55000000000000004">
      <c r="A26" t="s">
        <v>45</v>
      </c>
      <c r="B26" t="s">
        <v>20</v>
      </c>
      <c r="C26" t="s">
        <v>0</v>
      </c>
    </row>
    <row r="27" spans="1:3" x14ac:dyDescent="0.55000000000000004">
      <c r="A27" t="s">
        <v>45</v>
      </c>
      <c r="B27" t="s">
        <v>21</v>
      </c>
      <c r="C27" t="s">
        <v>0</v>
      </c>
    </row>
    <row r="28" spans="1:3" x14ac:dyDescent="0.55000000000000004">
      <c r="A28" t="s">
        <v>45</v>
      </c>
      <c r="B28" t="s">
        <v>22</v>
      </c>
      <c r="C28" t="s">
        <v>13</v>
      </c>
    </row>
    <row r="29" spans="1:3" x14ac:dyDescent="0.55000000000000004">
      <c r="A29" t="s">
        <v>45</v>
      </c>
      <c r="B29" t="s">
        <v>23</v>
      </c>
      <c r="C29" t="s">
        <v>13</v>
      </c>
    </row>
    <row r="30" spans="1:3" x14ac:dyDescent="0.55000000000000004">
      <c r="A30" t="s">
        <v>45</v>
      </c>
      <c r="B30" t="s">
        <v>46</v>
      </c>
      <c r="C30" t="s">
        <v>49</v>
      </c>
    </row>
    <row r="31" spans="1:3" x14ac:dyDescent="0.55000000000000004">
      <c r="A31" t="s">
        <v>45</v>
      </c>
      <c r="B31" t="s">
        <v>47</v>
      </c>
      <c r="C31" t="s">
        <v>48</v>
      </c>
    </row>
    <row r="32" spans="1:3" x14ac:dyDescent="0.55000000000000004">
      <c r="A32" t="s">
        <v>45</v>
      </c>
      <c r="B32" t="s">
        <v>15</v>
      </c>
      <c r="C32">
        <v>0.03</v>
      </c>
    </row>
    <row r="33" spans="1:3" x14ac:dyDescent="0.55000000000000004">
      <c r="A33" t="s">
        <v>45</v>
      </c>
      <c r="B33" t="s">
        <v>16</v>
      </c>
      <c r="C33" t="s">
        <v>17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8C87-E09E-4650-80AF-C354B026E8A7}">
  <sheetPr codeName="Sheet3"/>
  <dimension ref="A1:E12"/>
  <sheetViews>
    <sheetView workbookViewId="0">
      <selection activeCell="F15" sqref="F15"/>
    </sheetView>
  </sheetViews>
  <sheetFormatPr defaultRowHeight="14.4" x14ac:dyDescent="0.55000000000000004"/>
  <cols>
    <col min="1" max="1" width="8.89453125" bestFit="1" customWidth="1"/>
    <col min="2" max="2" width="16.3125" bestFit="1" customWidth="1"/>
    <col min="3" max="3" width="6.62890625" bestFit="1" customWidth="1"/>
    <col min="4" max="4" width="6.83984375" bestFit="1" customWidth="1"/>
    <col min="5" max="5" width="5.62890625" bestFit="1" customWidth="1"/>
  </cols>
  <sheetData>
    <row r="1" spans="1:5" x14ac:dyDescent="0.55000000000000004">
      <c r="A1" t="s">
        <v>81</v>
      </c>
      <c r="B1" t="s">
        <v>107</v>
      </c>
      <c r="C1" t="s">
        <v>11</v>
      </c>
      <c r="D1" t="s">
        <v>13</v>
      </c>
      <c r="E1" t="s">
        <v>24</v>
      </c>
    </row>
    <row r="2" spans="1:5" x14ac:dyDescent="0.55000000000000004">
      <c r="A2">
        <v>1001</v>
      </c>
      <c r="B2" t="s">
        <v>117</v>
      </c>
      <c r="C2" t="s">
        <v>66</v>
      </c>
      <c r="D2">
        <v>150</v>
      </c>
      <c r="E2" t="s">
        <v>118</v>
      </c>
    </row>
    <row r="3" spans="1:5" x14ac:dyDescent="0.55000000000000004">
      <c r="A3">
        <v>1002</v>
      </c>
      <c r="B3" t="s">
        <v>119</v>
      </c>
      <c r="C3" t="s">
        <v>66</v>
      </c>
      <c r="D3">
        <v>225.5</v>
      </c>
      <c r="E3" t="s">
        <v>118</v>
      </c>
    </row>
    <row r="4" spans="1:5" x14ac:dyDescent="0.55000000000000004">
      <c r="A4">
        <v>1003</v>
      </c>
      <c r="B4" t="s">
        <v>120</v>
      </c>
      <c r="C4" t="s">
        <v>71</v>
      </c>
      <c r="D4">
        <v>5000</v>
      </c>
      <c r="E4" t="s">
        <v>118</v>
      </c>
    </row>
    <row r="5" spans="1:5" x14ac:dyDescent="0.55000000000000004">
      <c r="A5">
        <v>1004</v>
      </c>
      <c r="B5" t="s">
        <v>121</v>
      </c>
      <c r="C5" t="s">
        <v>66</v>
      </c>
      <c r="D5">
        <v>175</v>
      </c>
      <c r="E5" t="s">
        <v>118</v>
      </c>
    </row>
    <row r="6" spans="1:5" x14ac:dyDescent="0.55000000000000004">
      <c r="A6">
        <v>1005</v>
      </c>
      <c r="B6" t="s">
        <v>122</v>
      </c>
      <c r="C6" t="s">
        <v>65</v>
      </c>
      <c r="D6">
        <v>50</v>
      </c>
      <c r="E6" t="s">
        <v>118</v>
      </c>
    </row>
    <row r="7" spans="1:5" x14ac:dyDescent="0.55000000000000004">
      <c r="A7">
        <v>1006</v>
      </c>
      <c r="B7" t="s">
        <v>123</v>
      </c>
      <c r="C7" t="s">
        <v>66</v>
      </c>
      <c r="D7">
        <v>300</v>
      </c>
      <c r="E7" t="s">
        <v>118</v>
      </c>
    </row>
    <row r="8" spans="1:5" x14ac:dyDescent="0.55000000000000004">
      <c r="A8">
        <v>1007</v>
      </c>
      <c r="B8" t="s">
        <v>124</v>
      </c>
      <c r="C8" t="s">
        <v>66</v>
      </c>
      <c r="D8">
        <v>425.75</v>
      </c>
      <c r="E8" t="s">
        <v>118</v>
      </c>
    </row>
    <row r="9" spans="1:5" x14ac:dyDescent="0.55000000000000004">
      <c r="A9">
        <v>1008</v>
      </c>
      <c r="B9" t="s">
        <v>125</v>
      </c>
      <c r="C9" t="s">
        <v>71</v>
      </c>
      <c r="D9">
        <v>10000</v>
      </c>
      <c r="E9" t="s">
        <v>118</v>
      </c>
    </row>
    <row r="10" spans="1:5" x14ac:dyDescent="0.55000000000000004">
      <c r="A10">
        <v>1010</v>
      </c>
      <c r="B10" t="s">
        <v>126</v>
      </c>
      <c r="C10" t="s">
        <v>66</v>
      </c>
      <c r="D10">
        <v>210</v>
      </c>
      <c r="E10" t="s">
        <v>118</v>
      </c>
    </row>
    <row r="11" spans="1:5" x14ac:dyDescent="0.55000000000000004">
      <c r="A11">
        <v>1011</v>
      </c>
      <c r="B11" t="s">
        <v>127</v>
      </c>
      <c r="C11" t="s">
        <v>66</v>
      </c>
      <c r="D11">
        <v>275.5</v>
      </c>
      <c r="E11" t="s">
        <v>118</v>
      </c>
    </row>
    <row r="12" spans="1:5" x14ac:dyDescent="0.55000000000000004">
      <c r="A12">
        <v>1012</v>
      </c>
      <c r="B12" t="s">
        <v>128</v>
      </c>
      <c r="C12" t="s">
        <v>65</v>
      </c>
      <c r="D12">
        <v>75</v>
      </c>
      <c r="E12" t="s">
        <v>118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11663-74C5-46D8-9DD1-AF441D892DD7}">
  <sheetPr codeName="Sheet2"/>
  <dimension ref="A1:F33"/>
  <sheetViews>
    <sheetView workbookViewId="0">
      <selection activeCell="C11" sqref="C11"/>
    </sheetView>
  </sheetViews>
  <sheetFormatPr defaultRowHeight="14.4" x14ac:dyDescent="0.55000000000000004"/>
  <cols>
    <col min="1" max="1" width="8.89453125" bestFit="1" customWidth="1"/>
    <col min="2" max="2" width="16.3125" bestFit="1" customWidth="1"/>
    <col min="3" max="3" width="6.62890625" bestFit="1" customWidth="1"/>
    <col min="4" max="4" width="6.83984375" bestFit="1" customWidth="1"/>
    <col min="5" max="5" width="15.68359375" bestFit="1" customWidth="1"/>
    <col min="6" max="6" width="5.62890625" bestFit="1" customWidth="1"/>
  </cols>
  <sheetData>
    <row r="1" spans="1:6" x14ac:dyDescent="0.55000000000000004">
      <c r="A1" t="s">
        <v>81</v>
      </c>
      <c r="B1" t="s">
        <v>107</v>
      </c>
      <c r="C1" t="s">
        <v>11</v>
      </c>
      <c r="D1" t="s">
        <v>13</v>
      </c>
      <c r="E1" t="s">
        <v>129</v>
      </c>
      <c r="F1" t="s">
        <v>24</v>
      </c>
    </row>
    <row r="2" spans="1:6" x14ac:dyDescent="0.55000000000000004">
      <c r="A2">
        <v>1001</v>
      </c>
      <c r="B2" t="s">
        <v>117</v>
      </c>
      <c r="C2" t="s">
        <v>66</v>
      </c>
      <c r="D2">
        <v>100</v>
      </c>
      <c r="E2" t="s">
        <v>130</v>
      </c>
      <c r="F2" t="s">
        <v>118</v>
      </c>
    </row>
    <row r="3" spans="1:6" x14ac:dyDescent="0.55000000000000004">
      <c r="A3">
        <v>1001</v>
      </c>
      <c r="B3" t="s">
        <v>117</v>
      </c>
      <c r="C3" t="s">
        <v>66</v>
      </c>
      <c r="D3">
        <v>50</v>
      </c>
      <c r="E3" t="s">
        <v>131</v>
      </c>
      <c r="F3" t="s">
        <v>118</v>
      </c>
    </row>
    <row r="4" spans="1:6" x14ac:dyDescent="0.55000000000000004">
      <c r="A4">
        <v>1002</v>
      </c>
      <c r="B4" t="s">
        <v>119</v>
      </c>
      <c r="C4" t="s">
        <v>66</v>
      </c>
      <c r="D4">
        <v>150.5</v>
      </c>
      <c r="E4" t="s">
        <v>132</v>
      </c>
      <c r="F4" t="s">
        <v>118</v>
      </c>
    </row>
    <row r="5" spans="1:6" x14ac:dyDescent="0.55000000000000004">
      <c r="A5">
        <v>1002</v>
      </c>
      <c r="B5" t="s">
        <v>119</v>
      </c>
      <c r="C5" t="s">
        <v>66</v>
      </c>
      <c r="D5">
        <v>75</v>
      </c>
      <c r="E5" t="s">
        <v>133</v>
      </c>
      <c r="F5" t="s">
        <v>118</v>
      </c>
    </row>
    <row r="6" spans="1:6" x14ac:dyDescent="0.55000000000000004">
      <c r="A6">
        <v>1003</v>
      </c>
      <c r="B6" t="s">
        <v>120</v>
      </c>
      <c r="C6" t="s">
        <v>71</v>
      </c>
      <c r="D6">
        <v>3000</v>
      </c>
      <c r="E6" t="s">
        <v>134</v>
      </c>
      <c r="F6" t="s">
        <v>118</v>
      </c>
    </row>
    <row r="7" spans="1:6" x14ac:dyDescent="0.55000000000000004">
      <c r="A7">
        <v>1003</v>
      </c>
      <c r="B7" t="s">
        <v>120</v>
      </c>
      <c r="C7" t="s">
        <v>71</v>
      </c>
      <c r="D7">
        <v>2000</v>
      </c>
      <c r="E7" t="s">
        <v>135</v>
      </c>
      <c r="F7" t="s">
        <v>118</v>
      </c>
    </row>
    <row r="8" spans="1:6" x14ac:dyDescent="0.55000000000000004">
      <c r="A8">
        <v>1004</v>
      </c>
      <c r="B8" t="s">
        <v>121</v>
      </c>
      <c r="C8" t="s">
        <v>66</v>
      </c>
      <c r="D8">
        <v>100</v>
      </c>
      <c r="E8" t="s">
        <v>130</v>
      </c>
      <c r="F8" t="s">
        <v>118</v>
      </c>
    </row>
    <row r="9" spans="1:6" x14ac:dyDescent="0.55000000000000004">
      <c r="A9">
        <v>1004</v>
      </c>
      <c r="B9" t="s">
        <v>121</v>
      </c>
      <c r="C9" t="s">
        <v>66</v>
      </c>
      <c r="D9">
        <v>75.25</v>
      </c>
      <c r="E9" t="s">
        <v>131</v>
      </c>
      <c r="F9" t="s">
        <v>118</v>
      </c>
    </row>
    <row r="10" spans="1:6" x14ac:dyDescent="0.55000000000000004">
      <c r="A10">
        <v>1005</v>
      </c>
      <c r="B10" t="s">
        <v>122</v>
      </c>
      <c r="C10" t="s">
        <v>65</v>
      </c>
      <c r="D10">
        <v>30</v>
      </c>
      <c r="E10" t="s">
        <v>136</v>
      </c>
      <c r="F10" t="s">
        <v>118</v>
      </c>
    </row>
    <row r="11" spans="1:6" x14ac:dyDescent="0.55000000000000004">
      <c r="A11">
        <v>1005</v>
      </c>
      <c r="B11" t="s">
        <v>122</v>
      </c>
      <c r="C11" t="s">
        <v>65</v>
      </c>
      <c r="D11">
        <v>20</v>
      </c>
      <c r="E11" t="s">
        <v>137</v>
      </c>
      <c r="F11" t="s">
        <v>118</v>
      </c>
    </row>
    <row r="12" spans="1:6" x14ac:dyDescent="0.55000000000000004">
      <c r="A12">
        <v>1006</v>
      </c>
      <c r="B12" t="s">
        <v>123</v>
      </c>
      <c r="C12" t="s">
        <v>66</v>
      </c>
      <c r="D12">
        <v>200</v>
      </c>
      <c r="E12" t="s">
        <v>138</v>
      </c>
      <c r="F12" t="s">
        <v>118</v>
      </c>
    </row>
    <row r="13" spans="1:6" x14ac:dyDescent="0.55000000000000004">
      <c r="A13">
        <v>1006</v>
      </c>
      <c r="B13" t="s">
        <v>123</v>
      </c>
      <c r="C13" t="s">
        <v>66</v>
      </c>
      <c r="D13">
        <v>100</v>
      </c>
      <c r="E13" t="s">
        <v>139</v>
      </c>
      <c r="F13" t="s">
        <v>118</v>
      </c>
    </row>
    <row r="14" spans="1:6" x14ac:dyDescent="0.55000000000000004">
      <c r="A14">
        <v>1007</v>
      </c>
      <c r="B14" t="s">
        <v>124</v>
      </c>
      <c r="C14" t="s">
        <v>66</v>
      </c>
      <c r="D14">
        <v>300</v>
      </c>
      <c r="E14" t="s">
        <v>140</v>
      </c>
      <c r="F14" t="s">
        <v>118</v>
      </c>
    </row>
    <row r="15" spans="1:6" x14ac:dyDescent="0.55000000000000004">
      <c r="A15">
        <v>1007</v>
      </c>
      <c r="B15" t="s">
        <v>124</v>
      </c>
      <c r="C15" t="s">
        <v>66</v>
      </c>
      <c r="D15">
        <v>125.5</v>
      </c>
      <c r="E15" t="s">
        <v>141</v>
      </c>
      <c r="F15" t="s">
        <v>118</v>
      </c>
    </row>
    <row r="16" spans="1:6" x14ac:dyDescent="0.55000000000000004">
      <c r="A16">
        <v>1008</v>
      </c>
      <c r="B16" t="s">
        <v>125</v>
      </c>
      <c r="C16" t="s">
        <v>71</v>
      </c>
      <c r="D16">
        <v>7000</v>
      </c>
      <c r="E16" t="s">
        <v>142</v>
      </c>
      <c r="F16" t="s">
        <v>118</v>
      </c>
    </row>
    <row r="17" spans="1:6" x14ac:dyDescent="0.55000000000000004">
      <c r="A17">
        <v>1008</v>
      </c>
      <c r="B17" t="s">
        <v>125</v>
      </c>
      <c r="C17" t="s">
        <v>71</v>
      </c>
      <c r="D17">
        <v>3000</v>
      </c>
      <c r="E17" t="s">
        <v>143</v>
      </c>
      <c r="F17" t="s">
        <v>118</v>
      </c>
    </row>
    <row r="18" spans="1:6" x14ac:dyDescent="0.55000000000000004">
      <c r="A18">
        <v>1010</v>
      </c>
      <c r="B18" t="s">
        <v>126</v>
      </c>
      <c r="C18" t="s">
        <v>66</v>
      </c>
      <c r="D18">
        <v>150</v>
      </c>
      <c r="E18" t="s">
        <v>132</v>
      </c>
      <c r="F18" t="s">
        <v>118</v>
      </c>
    </row>
    <row r="19" spans="1:6" x14ac:dyDescent="0.55000000000000004">
      <c r="A19">
        <v>1010</v>
      </c>
      <c r="B19" t="s">
        <v>126</v>
      </c>
      <c r="C19" t="s">
        <v>66</v>
      </c>
      <c r="D19">
        <v>60</v>
      </c>
      <c r="E19" t="s">
        <v>144</v>
      </c>
      <c r="F19" t="s">
        <v>118</v>
      </c>
    </row>
    <row r="20" spans="1:6" x14ac:dyDescent="0.55000000000000004">
      <c r="A20">
        <v>1011</v>
      </c>
      <c r="B20" t="s">
        <v>127</v>
      </c>
      <c r="C20" t="s">
        <v>66</v>
      </c>
      <c r="D20">
        <v>200</v>
      </c>
      <c r="E20" t="s">
        <v>145</v>
      </c>
      <c r="F20" t="s">
        <v>118</v>
      </c>
    </row>
    <row r="21" spans="1:6" x14ac:dyDescent="0.55000000000000004">
      <c r="A21">
        <v>1011</v>
      </c>
      <c r="B21" t="s">
        <v>127</v>
      </c>
      <c r="C21" t="s">
        <v>66</v>
      </c>
      <c r="D21">
        <v>80</v>
      </c>
      <c r="E21" t="s">
        <v>146</v>
      </c>
      <c r="F21" t="s">
        <v>118</v>
      </c>
    </row>
    <row r="22" spans="1:6" x14ac:dyDescent="0.55000000000000004">
      <c r="A22">
        <v>1012</v>
      </c>
      <c r="B22" t="s">
        <v>128</v>
      </c>
      <c r="C22" t="s">
        <v>65</v>
      </c>
      <c r="D22">
        <v>45</v>
      </c>
      <c r="E22" t="s">
        <v>147</v>
      </c>
      <c r="F22" t="s">
        <v>118</v>
      </c>
    </row>
    <row r="23" spans="1:6" x14ac:dyDescent="0.55000000000000004">
      <c r="A23">
        <v>1012</v>
      </c>
      <c r="B23" t="s">
        <v>128</v>
      </c>
      <c r="C23" t="s">
        <v>65</v>
      </c>
      <c r="D23">
        <v>30</v>
      </c>
      <c r="E23" t="s">
        <v>148</v>
      </c>
      <c r="F23" t="s">
        <v>118</v>
      </c>
    </row>
    <row r="24" spans="1:6" x14ac:dyDescent="0.55000000000000004">
      <c r="A24">
        <v>1013</v>
      </c>
      <c r="B24" t="s">
        <v>149</v>
      </c>
      <c r="C24" t="s">
        <v>66</v>
      </c>
      <c r="D24">
        <v>120</v>
      </c>
      <c r="E24" t="s">
        <v>130</v>
      </c>
      <c r="F24" t="s">
        <v>118</v>
      </c>
    </row>
    <row r="25" spans="1:6" x14ac:dyDescent="0.55000000000000004">
      <c r="A25">
        <v>1013</v>
      </c>
      <c r="B25" t="s">
        <v>149</v>
      </c>
      <c r="C25" t="s">
        <v>66</v>
      </c>
      <c r="D25">
        <v>75</v>
      </c>
      <c r="E25" t="s">
        <v>150</v>
      </c>
      <c r="F25" t="s">
        <v>118</v>
      </c>
    </row>
    <row r="26" spans="1:6" x14ac:dyDescent="0.55000000000000004">
      <c r="A26">
        <v>1014</v>
      </c>
      <c r="B26" t="s">
        <v>168</v>
      </c>
      <c r="C26" t="s">
        <v>66</v>
      </c>
      <c r="D26">
        <v>0.01</v>
      </c>
      <c r="E26" t="s">
        <v>169</v>
      </c>
      <c r="F26" t="s">
        <v>118</v>
      </c>
    </row>
    <row r="27" spans="1:6" x14ac:dyDescent="0.55000000000000004">
      <c r="A27">
        <v>1014</v>
      </c>
      <c r="B27" t="s">
        <v>168</v>
      </c>
      <c r="C27" t="s">
        <v>66</v>
      </c>
      <c r="D27">
        <v>0.02</v>
      </c>
      <c r="E27" t="s">
        <v>170</v>
      </c>
      <c r="F27" t="s">
        <v>118</v>
      </c>
    </row>
    <row r="28" spans="1:6" x14ac:dyDescent="0.55000000000000004">
      <c r="A28">
        <v>1015</v>
      </c>
      <c r="B28" t="s">
        <v>171</v>
      </c>
      <c r="C28" t="s">
        <v>66</v>
      </c>
      <c r="D28">
        <v>-0.01</v>
      </c>
      <c r="E28" t="s">
        <v>172</v>
      </c>
      <c r="F28" t="s">
        <v>118</v>
      </c>
    </row>
    <row r="29" spans="1:6" x14ac:dyDescent="0.55000000000000004">
      <c r="A29">
        <v>1015</v>
      </c>
      <c r="B29" t="s">
        <v>171</v>
      </c>
      <c r="C29" t="s">
        <v>66</v>
      </c>
      <c r="D29">
        <v>-0.02</v>
      </c>
      <c r="E29" t="s">
        <v>173</v>
      </c>
      <c r="F29" t="s">
        <v>118</v>
      </c>
    </row>
    <row r="30" spans="1:6" x14ac:dyDescent="0.55000000000000004">
      <c r="A30">
        <v>1016</v>
      </c>
      <c r="B30" t="s">
        <v>174</v>
      </c>
      <c r="C30" t="s">
        <v>66</v>
      </c>
      <c r="D30">
        <v>0.03</v>
      </c>
      <c r="E30" t="s">
        <v>175</v>
      </c>
      <c r="F30" t="s">
        <v>118</v>
      </c>
    </row>
    <row r="31" spans="1:6" x14ac:dyDescent="0.55000000000000004">
      <c r="A31">
        <v>1016</v>
      </c>
      <c r="B31" t="s">
        <v>174</v>
      </c>
      <c r="C31" t="s">
        <v>66</v>
      </c>
      <c r="D31">
        <v>-0.01</v>
      </c>
      <c r="E31" t="s">
        <v>176</v>
      </c>
      <c r="F31" t="s">
        <v>118</v>
      </c>
    </row>
    <row r="32" spans="1:6" x14ac:dyDescent="0.55000000000000004">
      <c r="A32">
        <v>1017</v>
      </c>
      <c r="B32" t="s">
        <v>177</v>
      </c>
      <c r="C32" t="s">
        <v>66</v>
      </c>
      <c r="D32">
        <v>0.01</v>
      </c>
      <c r="E32" t="s">
        <v>178</v>
      </c>
      <c r="F32" t="s">
        <v>118</v>
      </c>
    </row>
    <row r="33" spans="1:6" x14ac:dyDescent="0.55000000000000004">
      <c r="A33">
        <v>1017</v>
      </c>
      <c r="B33" t="s">
        <v>177</v>
      </c>
      <c r="C33" t="s">
        <v>66</v>
      </c>
      <c r="D33">
        <v>-0.03</v>
      </c>
      <c r="E33" t="s">
        <v>179</v>
      </c>
      <c r="F33" t="s">
        <v>118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79188-C0CF-4510-AA31-1916D25D14D1}">
  <sheetPr codeName="Sheet16"/>
  <dimension ref="A1:G175"/>
  <sheetViews>
    <sheetView workbookViewId="0">
      <pane ySplit="1" topLeftCell="A74" activePane="bottomLeft" state="frozen"/>
      <selection pane="bottomLeft" activeCell="E83" sqref="E83"/>
    </sheetView>
  </sheetViews>
  <sheetFormatPr defaultRowHeight="14.4" x14ac:dyDescent="0.55000000000000004"/>
  <cols>
    <col min="1" max="1" width="17.3671875" bestFit="1" customWidth="1"/>
    <col min="2" max="2" width="12.47265625" bestFit="1" customWidth="1"/>
    <col min="3" max="3" width="17.68359375" bestFit="1" customWidth="1"/>
    <col min="4" max="4" width="136.20703125" bestFit="1" customWidth="1"/>
    <col min="5" max="5" width="8.05078125" bestFit="1" customWidth="1"/>
    <col min="6" max="6" width="9.5234375" bestFit="1" customWidth="1"/>
    <col min="7" max="7" width="6.62890625" bestFit="1" customWidth="1"/>
  </cols>
  <sheetData>
    <row r="1" spans="1:7" x14ac:dyDescent="0.55000000000000004">
      <c r="A1" s="3" t="s">
        <v>25</v>
      </c>
      <c r="B1" s="3" t="s">
        <v>29</v>
      </c>
      <c r="C1" s="3" t="s">
        <v>26</v>
      </c>
      <c r="D1" s="3" t="s">
        <v>30</v>
      </c>
      <c r="E1" s="3" t="s">
        <v>24</v>
      </c>
      <c r="F1" s="3" t="s">
        <v>31</v>
      </c>
      <c r="G1" s="3" t="s">
        <v>27</v>
      </c>
    </row>
    <row r="2" spans="1:7" x14ac:dyDescent="0.55000000000000004">
      <c r="A2" s="4">
        <v>46066.496712962966</v>
      </c>
      <c r="B2" s="3" t="s">
        <v>32</v>
      </c>
      <c r="C2" s="3" t="s">
        <v>33</v>
      </c>
      <c r="D2" s="3" t="s">
        <v>34</v>
      </c>
      <c r="E2" s="3" t="s">
        <v>35</v>
      </c>
      <c r="F2" s="3">
        <v>6</v>
      </c>
      <c r="G2" s="3" t="s">
        <v>28</v>
      </c>
    </row>
    <row r="3" spans="1:7" x14ac:dyDescent="0.55000000000000004">
      <c r="A3" s="4">
        <v>46066.49690972222</v>
      </c>
      <c r="B3" s="3" t="s">
        <v>32</v>
      </c>
      <c r="C3" s="3" t="s">
        <v>33</v>
      </c>
      <c r="D3" s="3" t="s">
        <v>36</v>
      </c>
      <c r="E3" s="3" t="s">
        <v>35</v>
      </c>
      <c r="F3" s="3">
        <v>12</v>
      </c>
      <c r="G3" s="3" t="s">
        <v>28</v>
      </c>
    </row>
    <row r="4" spans="1:7" x14ac:dyDescent="0.55000000000000004">
      <c r="A4" s="4">
        <v>46066.497071759259</v>
      </c>
      <c r="B4" s="3" t="s">
        <v>37</v>
      </c>
      <c r="C4" s="3" t="s">
        <v>19</v>
      </c>
      <c r="D4" s="3" t="s">
        <v>38</v>
      </c>
      <c r="E4" s="3" t="s">
        <v>35</v>
      </c>
      <c r="F4" s="3">
        <v>7</v>
      </c>
      <c r="G4" s="3" t="s">
        <v>28</v>
      </c>
    </row>
    <row r="5" spans="1:7" x14ac:dyDescent="0.55000000000000004">
      <c r="A5" s="4">
        <v>46066.497210648151</v>
      </c>
      <c r="B5" s="3" t="s">
        <v>39</v>
      </c>
      <c r="C5" s="3" t="s">
        <v>19</v>
      </c>
      <c r="D5" s="3" t="s">
        <v>40</v>
      </c>
      <c r="E5" s="3" t="s">
        <v>35</v>
      </c>
      <c r="F5" s="3">
        <v>10</v>
      </c>
      <c r="G5" s="3" t="s">
        <v>28</v>
      </c>
    </row>
    <row r="6" spans="1:7" x14ac:dyDescent="0.55000000000000004">
      <c r="A6" s="4">
        <v>46066.502638888887</v>
      </c>
      <c r="B6" s="3" t="s">
        <v>32</v>
      </c>
      <c r="C6" s="3" t="s">
        <v>33</v>
      </c>
      <c r="D6" s="3" t="s">
        <v>34</v>
      </c>
      <c r="E6" s="3" t="s">
        <v>35</v>
      </c>
      <c r="F6" s="3">
        <v>6</v>
      </c>
      <c r="G6" s="3" t="s">
        <v>28</v>
      </c>
    </row>
    <row r="7" spans="1:7" x14ac:dyDescent="0.55000000000000004">
      <c r="A7" s="4">
        <v>46066.502789351849</v>
      </c>
      <c r="B7" s="3" t="s">
        <v>32</v>
      </c>
      <c r="C7" s="3" t="s">
        <v>33</v>
      </c>
      <c r="D7" s="3" t="s">
        <v>36</v>
      </c>
      <c r="E7" s="3" t="s">
        <v>35</v>
      </c>
      <c r="F7" s="3">
        <v>12</v>
      </c>
      <c r="G7" s="3" t="s">
        <v>28</v>
      </c>
    </row>
    <row r="8" spans="1:7" x14ac:dyDescent="0.55000000000000004">
      <c r="A8" s="4">
        <v>46066.50304398148</v>
      </c>
      <c r="B8" s="3" t="s">
        <v>37</v>
      </c>
      <c r="C8" s="3" t="s">
        <v>19</v>
      </c>
      <c r="D8" s="3" t="s">
        <v>38</v>
      </c>
      <c r="E8" s="3" t="s">
        <v>35</v>
      </c>
      <c r="F8" s="3">
        <v>7</v>
      </c>
      <c r="G8" s="3" t="s">
        <v>28</v>
      </c>
    </row>
    <row r="9" spans="1:7" x14ac:dyDescent="0.55000000000000004">
      <c r="A9" s="4">
        <v>46066.525462962964</v>
      </c>
      <c r="B9" s="3" t="s">
        <v>32</v>
      </c>
      <c r="C9" s="3" t="s">
        <v>33</v>
      </c>
      <c r="D9" s="3" t="s">
        <v>34</v>
      </c>
      <c r="E9" s="3" t="s">
        <v>35</v>
      </c>
      <c r="F9" s="3">
        <v>6</v>
      </c>
      <c r="G9" s="3" t="s">
        <v>28</v>
      </c>
    </row>
    <row r="10" spans="1:7" x14ac:dyDescent="0.55000000000000004">
      <c r="A10" s="4">
        <v>46066.525578703702</v>
      </c>
      <c r="B10" s="3" t="s">
        <v>32</v>
      </c>
      <c r="C10" s="3" t="s">
        <v>33</v>
      </c>
      <c r="D10" s="3" t="s">
        <v>36</v>
      </c>
      <c r="E10" s="3" t="s">
        <v>35</v>
      </c>
      <c r="F10" s="3">
        <v>12</v>
      </c>
      <c r="G10" s="3" t="s">
        <v>28</v>
      </c>
    </row>
    <row r="11" spans="1:7" x14ac:dyDescent="0.55000000000000004">
      <c r="A11" s="4">
        <v>46066.525601851848</v>
      </c>
      <c r="B11" s="3" t="s">
        <v>37</v>
      </c>
      <c r="C11" s="3" t="s">
        <v>19</v>
      </c>
      <c r="D11" s="3" t="s">
        <v>38</v>
      </c>
      <c r="E11" s="3" t="s">
        <v>35</v>
      </c>
      <c r="F11" s="3">
        <v>7</v>
      </c>
      <c r="G11" s="3" t="s">
        <v>28</v>
      </c>
    </row>
    <row r="12" spans="1:7" x14ac:dyDescent="0.55000000000000004">
      <c r="A12" s="4">
        <v>46066.525636574072</v>
      </c>
      <c r="B12" s="3" t="s">
        <v>39</v>
      </c>
      <c r="C12" s="3" t="s">
        <v>19</v>
      </c>
      <c r="D12" s="3" t="s">
        <v>40</v>
      </c>
      <c r="E12" s="3" t="s">
        <v>35</v>
      </c>
      <c r="F12" s="3">
        <v>10</v>
      </c>
      <c r="G12" s="3" t="s">
        <v>28</v>
      </c>
    </row>
    <row r="13" spans="1:7" x14ac:dyDescent="0.55000000000000004">
      <c r="A13" s="4">
        <v>46066.537870370368</v>
      </c>
      <c r="B13" s="3" t="s">
        <v>37</v>
      </c>
      <c r="C13" s="3" t="s">
        <v>19</v>
      </c>
      <c r="D13" s="3" t="s">
        <v>38</v>
      </c>
      <c r="E13" s="3" t="s">
        <v>35</v>
      </c>
      <c r="F13" s="3">
        <v>7</v>
      </c>
      <c r="G13" s="3" t="s">
        <v>28</v>
      </c>
    </row>
    <row r="14" spans="1:7" x14ac:dyDescent="0.55000000000000004">
      <c r="A14" s="4">
        <v>46066.537905092591</v>
      </c>
      <c r="B14" s="3" t="s">
        <v>39</v>
      </c>
      <c r="C14" s="3" t="s">
        <v>19</v>
      </c>
      <c r="D14" s="3" t="s">
        <v>40</v>
      </c>
      <c r="E14" s="3" t="s">
        <v>35</v>
      </c>
      <c r="F14" s="3">
        <v>10</v>
      </c>
      <c r="G14" s="3" t="s">
        <v>28</v>
      </c>
    </row>
    <row r="15" spans="1:7" x14ac:dyDescent="0.55000000000000004">
      <c r="A15" s="4">
        <v>46066.730324074073</v>
      </c>
      <c r="B15" s="3" t="s">
        <v>32</v>
      </c>
      <c r="C15" s="3" t="s">
        <v>33</v>
      </c>
      <c r="D15" s="3" t="s">
        <v>50</v>
      </c>
      <c r="E15" s="3" t="s">
        <v>35</v>
      </c>
      <c r="F15" s="3">
        <v>3</v>
      </c>
      <c r="G15" s="3" t="s">
        <v>28</v>
      </c>
    </row>
    <row r="16" spans="1:7" x14ac:dyDescent="0.55000000000000004">
      <c r="A16" s="4">
        <v>46066.730509259258</v>
      </c>
      <c r="B16" s="3" t="s">
        <v>32</v>
      </c>
      <c r="C16" s="3" t="s">
        <v>33</v>
      </c>
      <c r="D16" s="3" t="s">
        <v>51</v>
      </c>
      <c r="E16" s="3" t="s">
        <v>35</v>
      </c>
      <c r="F16" s="3">
        <v>3</v>
      </c>
      <c r="G16" s="3" t="s">
        <v>28</v>
      </c>
    </row>
    <row r="17" spans="1:7" x14ac:dyDescent="0.55000000000000004">
      <c r="A17" s="4">
        <v>46066.731168981481</v>
      </c>
      <c r="B17" s="3" t="s">
        <v>37</v>
      </c>
      <c r="C17" s="3" t="s">
        <v>19</v>
      </c>
      <c r="D17" s="3" t="s">
        <v>52</v>
      </c>
      <c r="E17" s="3" t="s">
        <v>35</v>
      </c>
      <c r="F17" s="3">
        <v>3</v>
      </c>
      <c r="G17" s="3" t="s">
        <v>28</v>
      </c>
    </row>
    <row r="18" spans="1:7" x14ac:dyDescent="0.55000000000000004">
      <c r="A18" s="4">
        <v>46066.731377314813</v>
      </c>
      <c r="B18" s="3" t="s">
        <v>39</v>
      </c>
      <c r="C18" s="3" t="s">
        <v>19</v>
      </c>
      <c r="D18" s="3" t="s">
        <v>40</v>
      </c>
      <c r="E18" s="3" t="s">
        <v>35</v>
      </c>
      <c r="F18" s="3">
        <v>3</v>
      </c>
      <c r="G18" s="3" t="s">
        <v>28</v>
      </c>
    </row>
    <row r="19" spans="1:7" x14ac:dyDescent="0.55000000000000004">
      <c r="A19" s="4">
        <v>46066.795787037037</v>
      </c>
      <c r="B19" s="3" t="s">
        <v>32</v>
      </c>
      <c r="C19" s="3" t="s">
        <v>33</v>
      </c>
      <c r="D19" s="3" t="s">
        <v>55</v>
      </c>
      <c r="E19" s="3" t="s">
        <v>35</v>
      </c>
      <c r="F19" s="3">
        <v>3</v>
      </c>
      <c r="G19" s="3" t="s">
        <v>28</v>
      </c>
    </row>
    <row r="20" spans="1:7" x14ac:dyDescent="0.55000000000000004">
      <c r="A20" s="4">
        <v>46066.796157407407</v>
      </c>
      <c r="B20" s="3" t="s">
        <v>32</v>
      </c>
      <c r="C20" s="3" t="s">
        <v>33</v>
      </c>
      <c r="D20" s="3" t="s">
        <v>56</v>
      </c>
      <c r="E20" s="3" t="s">
        <v>35</v>
      </c>
      <c r="F20" s="3">
        <v>4</v>
      </c>
      <c r="G20" s="3" t="s">
        <v>28</v>
      </c>
    </row>
    <row r="21" spans="1:7" x14ac:dyDescent="0.55000000000000004">
      <c r="A21" s="4">
        <v>46066.79619212963</v>
      </c>
      <c r="B21" s="3" t="s">
        <v>37</v>
      </c>
      <c r="C21" s="3" t="s">
        <v>44</v>
      </c>
      <c r="D21" s="3" t="s">
        <v>57</v>
      </c>
      <c r="E21" s="3" t="s">
        <v>35</v>
      </c>
      <c r="F21" s="3">
        <v>3</v>
      </c>
      <c r="G21" s="3" t="s">
        <v>28</v>
      </c>
    </row>
    <row r="22" spans="1:7" x14ac:dyDescent="0.55000000000000004">
      <c r="A22" s="4">
        <v>46066.800150462965</v>
      </c>
      <c r="B22" s="3" t="s">
        <v>32</v>
      </c>
      <c r="C22" s="3" t="s">
        <v>33</v>
      </c>
      <c r="D22" s="3" t="s">
        <v>55</v>
      </c>
      <c r="E22" s="3" t="s">
        <v>35</v>
      </c>
      <c r="F22" s="3">
        <v>3</v>
      </c>
      <c r="G22" s="3" t="s">
        <v>28</v>
      </c>
    </row>
    <row r="23" spans="1:7" x14ac:dyDescent="0.55000000000000004">
      <c r="A23" s="4">
        <v>46066.800254629627</v>
      </c>
      <c r="B23" s="3" t="s">
        <v>32</v>
      </c>
      <c r="C23" s="3" t="s">
        <v>33</v>
      </c>
      <c r="D23" s="3" t="s">
        <v>56</v>
      </c>
      <c r="E23" s="3" t="s">
        <v>35</v>
      </c>
      <c r="F23" s="3">
        <v>4</v>
      </c>
      <c r="G23" s="3" t="s">
        <v>28</v>
      </c>
    </row>
    <row r="24" spans="1:7" x14ac:dyDescent="0.55000000000000004">
      <c r="A24" s="4">
        <v>46066.800312500003</v>
      </c>
      <c r="B24" s="3" t="s">
        <v>37</v>
      </c>
      <c r="C24" s="3" t="s">
        <v>42</v>
      </c>
      <c r="D24" s="3" t="s">
        <v>57</v>
      </c>
      <c r="E24" s="3" t="s">
        <v>35</v>
      </c>
      <c r="F24" s="3">
        <v>3</v>
      </c>
      <c r="G24" s="3" t="s">
        <v>28</v>
      </c>
    </row>
    <row r="25" spans="1:7" x14ac:dyDescent="0.55000000000000004">
      <c r="A25" s="4">
        <v>46066.801504629628</v>
      </c>
      <c r="B25" s="3" t="s">
        <v>32</v>
      </c>
      <c r="C25" s="3" t="s">
        <v>33</v>
      </c>
      <c r="D25" s="3" t="s">
        <v>55</v>
      </c>
      <c r="E25" s="3" t="s">
        <v>35</v>
      </c>
      <c r="F25" s="3">
        <v>3</v>
      </c>
      <c r="G25" s="3" t="s">
        <v>28</v>
      </c>
    </row>
    <row r="26" spans="1:7" x14ac:dyDescent="0.55000000000000004">
      <c r="A26" s="4">
        <v>46066.80159722222</v>
      </c>
      <c r="B26" s="3" t="s">
        <v>32</v>
      </c>
      <c r="C26" s="3" t="s">
        <v>33</v>
      </c>
      <c r="D26" s="3" t="s">
        <v>58</v>
      </c>
      <c r="E26" s="3" t="s">
        <v>35</v>
      </c>
      <c r="F26" s="3">
        <v>10</v>
      </c>
      <c r="G26" s="3" t="s">
        <v>28</v>
      </c>
    </row>
    <row r="27" spans="1:7" x14ac:dyDescent="0.55000000000000004">
      <c r="A27" s="4">
        <v>46066.801678240743</v>
      </c>
      <c r="B27" s="3" t="s">
        <v>37</v>
      </c>
      <c r="C27" s="3" t="s">
        <v>42</v>
      </c>
      <c r="D27" s="3" t="s">
        <v>59</v>
      </c>
      <c r="E27" s="3" t="s">
        <v>35</v>
      </c>
      <c r="F27" s="3">
        <v>3</v>
      </c>
      <c r="G27" s="3" t="s">
        <v>28</v>
      </c>
    </row>
    <row r="28" spans="1:7" x14ac:dyDescent="0.55000000000000004">
      <c r="A28" s="4">
        <v>46066.801759259259</v>
      </c>
      <c r="B28" s="3" t="s">
        <v>37</v>
      </c>
      <c r="C28" s="3" t="s">
        <v>42</v>
      </c>
      <c r="D28" s="3" t="s">
        <v>59</v>
      </c>
      <c r="E28" s="3" t="s">
        <v>35</v>
      </c>
      <c r="F28" s="3">
        <v>3</v>
      </c>
      <c r="G28" s="3" t="s">
        <v>28</v>
      </c>
    </row>
    <row r="29" spans="1:7" x14ac:dyDescent="0.55000000000000004">
      <c r="A29" s="4">
        <v>46066.803148148145</v>
      </c>
      <c r="B29" s="3" t="s">
        <v>32</v>
      </c>
      <c r="C29" s="3" t="s">
        <v>33</v>
      </c>
      <c r="D29" s="3" t="s">
        <v>56</v>
      </c>
      <c r="E29" s="3" t="s">
        <v>35</v>
      </c>
      <c r="F29" s="3">
        <v>4</v>
      </c>
      <c r="G29" s="3" t="s">
        <v>28</v>
      </c>
    </row>
    <row r="30" spans="1:7" x14ac:dyDescent="0.55000000000000004">
      <c r="A30" s="4">
        <v>46066.803298611114</v>
      </c>
      <c r="B30" s="3" t="s">
        <v>32</v>
      </c>
      <c r="C30" s="3" t="s">
        <v>33</v>
      </c>
      <c r="D30" s="3" t="s">
        <v>55</v>
      </c>
      <c r="E30" s="3" t="s">
        <v>35</v>
      </c>
      <c r="F30" s="3">
        <v>3</v>
      </c>
      <c r="G30" s="3" t="s">
        <v>28</v>
      </c>
    </row>
    <row r="31" spans="1:7" x14ac:dyDescent="0.55000000000000004">
      <c r="A31" s="4">
        <v>46066.803333333337</v>
      </c>
      <c r="B31" s="3" t="s">
        <v>37</v>
      </c>
      <c r="C31" s="3" t="s">
        <v>42</v>
      </c>
      <c r="D31" s="3" t="s">
        <v>57</v>
      </c>
      <c r="E31" s="3" t="s">
        <v>35</v>
      </c>
      <c r="F31" s="3">
        <v>3</v>
      </c>
      <c r="G31" s="3" t="s">
        <v>28</v>
      </c>
    </row>
    <row r="32" spans="1:7" x14ac:dyDescent="0.55000000000000004">
      <c r="A32" s="4">
        <v>46066.804016203707</v>
      </c>
      <c r="B32" s="3" t="s">
        <v>37</v>
      </c>
      <c r="C32" s="3" t="s">
        <v>42</v>
      </c>
      <c r="D32" s="3" t="s">
        <v>57</v>
      </c>
      <c r="E32" s="3" t="s">
        <v>35</v>
      </c>
      <c r="F32" s="3">
        <v>3</v>
      </c>
      <c r="G32" s="3" t="s">
        <v>28</v>
      </c>
    </row>
    <row r="33" spans="1:7" x14ac:dyDescent="0.55000000000000004">
      <c r="A33" s="4">
        <v>46066.804062499999</v>
      </c>
      <c r="B33" s="3" t="s">
        <v>39</v>
      </c>
      <c r="C33" s="3" t="s">
        <v>42</v>
      </c>
      <c r="D33" s="3" t="s">
        <v>60</v>
      </c>
      <c r="E33" s="3" t="s">
        <v>35</v>
      </c>
      <c r="F33" s="3">
        <v>0</v>
      </c>
      <c r="G33" s="3" t="s">
        <v>28</v>
      </c>
    </row>
    <row r="34" spans="1:7" x14ac:dyDescent="0.55000000000000004">
      <c r="A34" s="4">
        <v>46066.804282407407</v>
      </c>
      <c r="B34" s="3" t="s">
        <v>37</v>
      </c>
      <c r="C34" s="3" t="s">
        <v>42</v>
      </c>
      <c r="D34" s="3" t="s">
        <v>57</v>
      </c>
      <c r="E34" s="3" t="s">
        <v>35</v>
      </c>
      <c r="F34" s="3">
        <v>3</v>
      </c>
      <c r="G34" s="3" t="s">
        <v>28</v>
      </c>
    </row>
    <row r="35" spans="1:7" x14ac:dyDescent="0.55000000000000004">
      <c r="A35" s="4">
        <v>46066.813356481478</v>
      </c>
      <c r="B35" s="3" t="s">
        <v>32</v>
      </c>
      <c r="C35" s="3" t="s">
        <v>33</v>
      </c>
      <c r="D35" s="3" t="s">
        <v>55</v>
      </c>
      <c r="E35" s="3" t="s">
        <v>35</v>
      </c>
      <c r="F35" s="3">
        <v>3</v>
      </c>
      <c r="G35" s="3" t="s">
        <v>28</v>
      </c>
    </row>
    <row r="36" spans="1:7" x14ac:dyDescent="0.55000000000000004">
      <c r="A36" s="4">
        <v>46066.813599537039</v>
      </c>
      <c r="B36" s="3" t="s">
        <v>32</v>
      </c>
      <c r="C36" s="3" t="s">
        <v>33</v>
      </c>
      <c r="D36" s="3" t="s">
        <v>56</v>
      </c>
      <c r="E36" s="3" t="s">
        <v>35</v>
      </c>
      <c r="F36" s="3">
        <v>4</v>
      </c>
      <c r="G36" s="3" t="s">
        <v>28</v>
      </c>
    </row>
    <row r="37" spans="1:7" x14ac:dyDescent="0.55000000000000004">
      <c r="A37" s="4">
        <v>46066.813750000001</v>
      </c>
      <c r="B37" s="3" t="s">
        <v>37</v>
      </c>
      <c r="C37" s="3" t="s">
        <v>42</v>
      </c>
      <c r="D37" s="3" t="s">
        <v>57</v>
      </c>
      <c r="E37" s="3" t="s">
        <v>35</v>
      </c>
      <c r="F37" s="3">
        <v>3</v>
      </c>
      <c r="G37" s="3" t="s">
        <v>28</v>
      </c>
    </row>
    <row r="38" spans="1:7" x14ac:dyDescent="0.55000000000000004">
      <c r="A38" s="4">
        <v>46066.815416666665</v>
      </c>
      <c r="B38" s="3" t="s">
        <v>32</v>
      </c>
      <c r="C38" s="3" t="s">
        <v>33</v>
      </c>
      <c r="D38" s="3" t="s">
        <v>55</v>
      </c>
      <c r="E38" s="3" t="s">
        <v>35</v>
      </c>
      <c r="F38" s="3">
        <v>3</v>
      </c>
      <c r="G38" s="3" t="s">
        <v>28</v>
      </c>
    </row>
    <row r="39" spans="1:7" x14ac:dyDescent="0.55000000000000004">
      <c r="A39" s="4">
        <v>46066.815520833334</v>
      </c>
      <c r="B39" s="3" t="s">
        <v>32</v>
      </c>
      <c r="C39" s="3" t="s">
        <v>33</v>
      </c>
      <c r="D39" s="3" t="s">
        <v>56</v>
      </c>
      <c r="E39" s="3" t="s">
        <v>35</v>
      </c>
      <c r="F39" s="3">
        <v>4</v>
      </c>
      <c r="G39" s="3" t="s">
        <v>28</v>
      </c>
    </row>
    <row r="40" spans="1:7" x14ac:dyDescent="0.55000000000000004">
      <c r="A40" s="4">
        <v>46066.817557870374</v>
      </c>
      <c r="B40" s="3" t="s">
        <v>37</v>
      </c>
      <c r="C40" s="3" t="s">
        <v>42</v>
      </c>
      <c r="D40" s="3" t="s">
        <v>57</v>
      </c>
      <c r="E40" s="3" t="s">
        <v>35</v>
      </c>
      <c r="F40" s="3">
        <v>3</v>
      </c>
      <c r="G40" s="3" t="s">
        <v>28</v>
      </c>
    </row>
    <row r="41" spans="1:7" x14ac:dyDescent="0.55000000000000004">
      <c r="A41" s="4">
        <v>46066.822777777779</v>
      </c>
      <c r="B41" s="3" t="s">
        <v>32</v>
      </c>
      <c r="C41" s="3" t="s">
        <v>33</v>
      </c>
      <c r="D41" s="3" t="s">
        <v>55</v>
      </c>
      <c r="E41" s="3" t="s">
        <v>35</v>
      </c>
      <c r="F41" s="3">
        <v>3</v>
      </c>
      <c r="G41" s="3" t="s">
        <v>28</v>
      </c>
    </row>
    <row r="42" spans="1:7" x14ac:dyDescent="0.55000000000000004">
      <c r="A42" s="4">
        <v>46066.823067129626</v>
      </c>
      <c r="B42" s="3" t="s">
        <v>32</v>
      </c>
      <c r="C42" s="3" t="s">
        <v>33</v>
      </c>
      <c r="D42" s="3" t="s">
        <v>56</v>
      </c>
      <c r="E42" s="3" t="s">
        <v>35</v>
      </c>
      <c r="F42" s="3">
        <v>4</v>
      </c>
      <c r="G42" s="3" t="s">
        <v>28</v>
      </c>
    </row>
    <row r="43" spans="1:7" x14ac:dyDescent="0.55000000000000004">
      <c r="A43" s="4">
        <v>46066.824050925927</v>
      </c>
      <c r="B43" s="3" t="s">
        <v>32</v>
      </c>
      <c r="C43" s="3" t="s">
        <v>33</v>
      </c>
      <c r="D43" s="3" t="s">
        <v>55</v>
      </c>
      <c r="E43" s="3" t="s">
        <v>35</v>
      </c>
      <c r="F43" s="3">
        <v>3</v>
      </c>
      <c r="G43" s="3" t="s">
        <v>28</v>
      </c>
    </row>
    <row r="44" spans="1:7" x14ac:dyDescent="0.55000000000000004">
      <c r="A44" s="4">
        <v>46066.824131944442</v>
      </c>
      <c r="B44" s="3" t="s">
        <v>32</v>
      </c>
      <c r="C44" s="3" t="s">
        <v>33</v>
      </c>
      <c r="D44" s="3" t="s">
        <v>56</v>
      </c>
      <c r="E44" s="3" t="s">
        <v>35</v>
      </c>
      <c r="F44" s="3">
        <v>4</v>
      </c>
      <c r="G44" s="3" t="s">
        <v>28</v>
      </c>
    </row>
    <row r="45" spans="1:7" x14ac:dyDescent="0.55000000000000004">
      <c r="A45" s="4">
        <v>46066.82712962963</v>
      </c>
      <c r="B45" s="3" t="s">
        <v>37</v>
      </c>
      <c r="C45" s="3" t="s">
        <v>42</v>
      </c>
      <c r="D45" s="3" t="s">
        <v>57</v>
      </c>
      <c r="E45" s="3" t="s">
        <v>35</v>
      </c>
      <c r="F45" s="3">
        <v>3</v>
      </c>
      <c r="G45" s="3" t="s">
        <v>28</v>
      </c>
    </row>
    <row r="46" spans="1:7" x14ac:dyDescent="0.55000000000000004">
      <c r="A46" s="4">
        <v>46066.83011574074</v>
      </c>
      <c r="B46" s="3" t="s">
        <v>32</v>
      </c>
      <c r="C46" s="3" t="s">
        <v>33</v>
      </c>
      <c r="D46" s="3" t="s">
        <v>55</v>
      </c>
      <c r="E46" s="3" t="s">
        <v>35</v>
      </c>
      <c r="F46" s="3">
        <v>3</v>
      </c>
      <c r="G46" s="3" t="s">
        <v>28</v>
      </c>
    </row>
    <row r="47" spans="1:7" x14ac:dyDescent="0.55000000000000004">
      <c r="A47" s="4">
        <v>46066.830185185187</v>
      </c>
      <c r="B47" s="3" t="s">
        <v>32</v>
      </c>
      <c r="C47" s="3" t="s">
        <v>33</v>
      </c>
      <c r="D47" s="3" t="s">
        <v>56</v>
      </c>
      <c r="E47" s="3" t="s">
        <v>35</v>
      </c>
      <c r="F47" s="3">
        <v>4</v>
      </c>
      <c r="G47" s="3" t="s">
        <v>28</v>
      </c>
    </row>
    <row r="48" spans="1:7" x14ac:dyDescent="0.55000000000000004">
      <c r="A48" s="4">
        <v>46066.830347222225</v>
      </c>
      <c r="B48" s="3" t="s">
        <v>37</v>
      </c>
      <c r="C48" s="3" t="s">
        <v>44</v>
      </c>
      <c r="D48" s="3" t="s">
        <v>57</v>
      </c>
      <c r="E48" s="3" t="s">
        <v>35</v>
      </c>
      <c r="F48" s="3">
        <v>3</v>
      </c>
      <c r="G48" s="3" t="s">
        <v>28</v>
      </c>
    </row>
    <row r="49" spans="1:7" x14ac:dyDescent="0.55000000000000004">
      <c r="A49" s="4">
        <v>46066.831944444442</v>
      </c>
      <c r="B49" s="3" t="s">
        <v>37</v>
      </c>
      <c r="C49" s="3" t="s">
        <v>44</v>
      </c>
      <c r="D49" s="3" t="s">
        <v>57</v>
      </c>
      <c r="E49" s="3" t="s">
        <v>35</v>
      </c>
      <c r="F49" s="3">
        <v>3</v>
      </c>
      <c r="G49" s="3" t="s">
        <v>28</v>
      </c>
    </row>
    <row r="50" spans="1:7" x14ac:dyDescent="0.55000000000000004">
      <c r="A50" s="4">
        <v>46066.841898148145</v>
      </c>
      <c r="B50" s="3" t="s">
        <v>32</v>
      </c>
      <c r="C50" s="3" t="s">
        <v>33</v>
      </c>
      <c r="D50" s="3" t="s">
        <v>55</v>
      </c>
      <c r="E50" s="3" t="s">
        <v>35</v>
      </c>
      <c r="F50" s="3">
        <v>3</v>
      </c>
      <c r="G50" s="3" t="s">
        <v>28</v>
      </c>
    </row>
    <row r="51" spans="1:7" x14ac:dyDescent="0.55000000000000004">
      <c r="A51" s="4">
        <v>46066.841967592591</v>
      </c>
      <c r="B51" s="3" t="s">
        <v>32</v>
      </c>
      <c r="C51" s="3" t="s">
        <v>33</v>
      </c>
      <c r="D51" s="3" t="s">
        <v>56</v>
      </c>
      <c r="E51" s="3" t="s">
        <v>35</v>
      </c>
      <c r="F51" s="3">
        <v>4</v>
      </c>
      <c r="G51" s="3" t="s">
        <v>28</v>
      </c>
    </row>
    <row r="52" spans="1:7" x14ac:dyDescent="0.55000000000000004">
      <c r="A52" s="4">
        <v>46066.841990740744</v>
      </c>
      <c r="B52" s="3" t="s">
        <v>37</v>
      </c>
      <c r="C52" s="3" t="s">
        <v>42</v>
      </c>
      <c r="D52" s="3" t="s">
        <v>57</v>
      </c>
      <c r="E52" s="3" t="s">
        <v>35</v>
      </c>
      <c r="F52" s="3">
        <v>3</v>
      </c>
      <c r="G52" s="3" t="s">
        <v>28</v>
      </c>
    </row>
    <row r="53" spans="1:7" x14ac:dyDescent="0.55000000000000004">
      <c r="A53" s="4">
        <v>46066.842187499999</v>
      </c>
      <c r="B53" s="3" t="s">
        <v>37</v>
      </c>
      <c r="C53" s="3" t="s">
        <v>42</v>
      </c>
      <c r="D53" s="3" t="s">
        <v>57</v>
      </c>
      <c r="E53" s="3" t="s">
        <v>35</v>
      </c>
      <c r="F53" s="3">
        <v>3</v>
      </c>
      <c r="G53" s="3" t="s">
        <v>28</v>
      </c>
    </row>
    <row r="54" spans="1:7" x14ac:dyDescent="0.55000000000000004">
      <c r="A54" s="4">
        <v>46066.844467592593</v>
      </c>
      <c r="B54" s="3" t="s">
        <v>32</v>
      </c>
      <c r="C54" s="3" t="s">
        <v>33</v>
      </c>
      <c r="D54" s="3" t="s">
        <v>55</v>
      </c>
      <c r="E54" s="3" t="s">
        <v>35</v>
      </c>
      <c r="F54" s="3">
        <v>3</v>
      </c>
      <c r="G54" s="3" t="s">
        <v>28</v>
      </c>
    </row>
    <row r="55" spans="1:7" x14ac:dyDescent="0.55000000000000004">
      <c r="A55" s="4">
        <v>46066.844548611109</v>
      </c>
      <c r="B55" s="3" t="s">
        <v>32</v>
      </c>
      <c r="C55" s="3" t="s">
        <v>33</v>
      </c>
      <c r="D55" s="3" t="s">
        <v>56</v>
      </c>
      <c r="E55" s="3" t="s">
        <v>35</v>
      </c>
      <c r="F55" s="3">
        <v>4</v>
      </c>
      <c r="G55" s="3" t="s">
        <v>28</v>
      </c>
    </row>
    <row r="56" spans="1:7" x14ac:dyDescent="0.55000000000000004">
      <c r="A56" s="4">
        <v>46066.846631944441</v>
      </c>
      <c r="B56" s="3" t="s">
        <v>32</v>
      </c>
      <c r="C56" s="3" t="s">
        <v>33</v>
      </c>
      <c r="D56" s="3" t="s">
        <v>55</v>
      </c>
      <c r="E56" s="3" t="s">
        <v>35</v>
      </c>
      <c r="F56" s="3">
        <v>3</v>
      </c>
      <c r="G56" s="3" t="s">
        <v>28</v>
      </c>
    </row>
    <row r="57" spans="1:7" x14ac:dyDescent="0.55000000000000004">
      <c r="A57" s="4">
        <v>46066.846712962964</v>
      </c>
      <c r="B57" s="3" t="s">
        <v>32</v>
      </c>
      <c r="C57" s="3" t="s">
        <v>33</v>
      </c>
      <c r="D57" s="3" t="s">
        <v>58</v>
      </c>
      <c r="E57" s="3" t="s">
        <v>35</v>
      </c>
      <c r="F57" s="3">
        <v>10</v>
      </c>
      <c r="G57" s="3" t="s">
        <v>28</v>
      </c>
    </row>
    <row r="58" spans="1:7" x14ac:dyDescent="0.55000000000000004">
      <c r="A58" s="4">
        <v>46066.848946759259</v>
      </c>
      <c r="B58" s="3" t="s">
        <v>32</v>
      </c>
      <c r="C58" s="3" t="s">
        <v>33</v>
      </c>
      <c r="D58" s="3" t="s">
        <v>55</v>
      </c>
      <c r="E58" s="3" t="s">
        <v>35</v>
      </c>
      <c r="F58" s="3">
        <v>3</v>
      </c>
      <c r="G58" s="3" t="s">
        <v>28</v>
      </c>
    </row>
    <row r="59" spans="1:7" x14ac:dyDescent="0.55000000000000004">
      <c r="A59" s="4">
        <v>46066.849097222221</v>
      </c>
      <c r="B59" s="3" t="s">
        <v>32</v>
      </c>
      <c r="C59" s="3" t="s">
        <v>33</v>
      </c>
      <c r="D59" s="3" t="s">
        <v>56</v>
      </c>
      <c r="E59" s="3" t="s">
        <v>35</v>
      </c>
      <c r="F59" s="3">
        <v>4</v>
      </c>
      <c r="G59" s="3" t="s">
        <v>28</v>
      </c>
    </row>
    <row r="60" spans="1:7" x14ac:dyDescent="0.55000000000000004">
      <c r="A60" s="4">
        <v>46066.851273148146</v>
      </c>
      <c r="B60" s="3" t="s">
        <v>32</v>
      </c>
      <c r="C60" s="3" t="s">
        <v>33</v>
      </c>
      <c r="D60" s="3" t="s">
        <v>55</v>
      </c>
      <c r="E60" s="3" t="s">
        <v>35</v>
      </c>
      <c r="F60" s="3">
        <v>3</v>
      </c>
      <c r="G60" s="3" t="s">
        <v>28</v>
      </c>
    </row>
    <row r="61" spans="1:7" x14ac:dyDescent="0.55000000000000004">
      <c r="A61" s="4">
        <v>46066.851354166669</v>
      </c>
      <c r="B61" s="3" t="s">
        <v>32</v>
      </c>
      <c r="C61" s="3" t="s">
        <v>33</v>
      </c>
      <c r="D61" s="3" t="s">
        <v>56</v>
      </c>
      <c r="E61" s="3" t="s">
        <v>35</v>
      </c>
      <c r="F61" s="3">
        <v>4</v>
      </c>
      <c r="G61" s="3" t="s">
        <v>28</v>
      </c>
    </row>
    <row r="62" spans="1:7" x14ac:dyDescent="0.55000000000000004">
      <c r="A62" s="4">
        <v>46066.852465277778</v>
      </c>
      <c r="B62" s="3" t="s">
        <v>37</v>
      </c>
      <c r="C62" s="3" t="s">
        <v>44</v>
      </c>
      <c r="D62" s="3" t="s">
        <v>57</v>
      </c>
      <c r="E62" s="3" t="s">
        <v>35</v>
      </c>
      <c r="F62" s="3">
        <v>3</v>
      </c>
      <c r="G62" s="3" t="s">
        <v>28</v>
      </c>
    </row>
    <row r="63" spans="1:7" x14ac:dyDescent="0.55000000000000004">
      <c r="A63" s="4">
        <v>46066.854062500002</v>
      </c>
      <c r="B63" s="3" t="s">
        <v>32</v>
      </c>
      <c r="C63" s="3" t="s">
        <v>33</v>
      </c>
      <c r="D63" s="3" t="s">
        <v>55</v>
      </c>
      <c r="E63" s="3" t="s">
        <v>35</v>
      </c>
      <c r="F63" s="3">
        <v>8</v>
      </c>
      <c r="G63" s="3" t="s">
        <v>28</v>
      </c>
    </row>
    <row r="64" spans="1:7" x14ac:dyDescent="0.55000000000000004">
      <c r="A64" s="4">
        <v>46066.854143518518</v>
      </c>
      <c r="B64" s="3" t="s">
        <v>32</v>
      </c>
      <c r="C64" s="3" t="s">
        <v>33</v>
      </c>
      <c r="D64" s="3" t="s">
        <v>56</v>
      </c>
      <c r="E64" s="3" t="s">
        <v>35</v>
      </c>
      <c r="F64" s="3">
        <v>9</v>
      </c>
      <c r="G64" s="3" t="s">
        <v>28</v>
      </c>
    </row>
    <row r="65" spans="1:7" x14ac:dyDescent="0.55000000000000004">
      <c r="A65" s="4">
        <v>46066.854166666664</v>
      </c>
      <c r="B65" s="3" t="s">
        <v>37</v>
      </c>
      <c r="C65" s="3" t="s">
        <v>44</v>
      </c>
      <c r="D65" s="3" t="s">
        <v>61</v>
      </c>
      <c r="E65" s="3" t="s">
        <v>35</v>
      </c>
      <c r="F65" s="3">
        <v>8</v>
      </c>
      <c r="G65" s="3" t="s">
        <v>28</v>
      </c>
    </row>
    <row r="66" spans="1:7" x14ac:dyDescent="0.55000000000000004">
      <c r="A66" s="4">
        <v>46067.421805555554</v>
      </c>
      <c r="B66" s="3" t="s">
        <v>37</v>
      </c>
      <c r="C66" s="3" t="s">
        <v>44</v>
      </c>
      <c r="D66" s="3" t="s">
        <v>61</v>
      </c>
      <c r="E66" s="3" t="s">
        <v>35</v>
      </c>
      <c r="F66" s="3">
        <v>8</v>
      </c>
      <c r="G66" s="3" t="s">
        <v>28</v>
      </c>
    </row>
    <row r="67" spans="1:7" x14ac:dyDescent="0.55000000000000004">
      <c r="A67" s="4">
        <v>46067.423321759263</v>
      </c>
      <c r="B67" s="3" t="s">
        <v>37</v>
      </c>
      <c r="C67" s="3" t="s">
        <v>44</v>
      </c>
      <c r="D67" s="3" t="s">
        <v>61</v>
      </c>
      <c r="E67" s="3" t="s">
        <v>35</v>
      </c>
      <c r="F67" s="3">
        <v>8</v>
      </c>
      <c r="G67" s="3" t="s">
        <v>28</v>
      </c>
    </row>
    <row r="68" spans="1:7" x14ac:dyDescent="0.55000000000000004">
      <c r="A68" s="4">
        <v>46067.424224537041</v>
      </c>
      <c r="B68" s="3" t="s">
        <v>32</v>
      </c>
      <c r="C68" s="3" t="s">
        <v>33</v>
      </c>
      <c r="D68" s="3" t="s">
        <v>55</v>
      </c>
      <c r="E68" s="3" t="s">
        <v>35</v>
      </c>
      <c r="F68" s="3">
        <v>8</v>
      </c>
      <c r="G68" s="3" t="s">
        <v>28</v>
      </c>
    </row>
    <row r="69" spans="1:7" x14ac:dyDescent="0.55000000000000004">
      <c r="A69" s="4">
        <v>46067.424293981479</v>
      </c>
      <c r="B69" s="3" t="s">
        <v>32</v>
      </c>
      <c r="C69" s="3" t="s">
        <v>33</v>
      </c>
      <c r="D69" s="3" t="s">
        <v>56</v>
      </c>
      <c r="E69" s="3" t="s">
        <v>35</v>
      </c>
      <c r="F69" s="3">
        <v>9</v>
      </c>
      <c r="G69" s="3" t="s">
        <v>28</v>
      </c>
    </row>
    <row r="70" spans="1:7" x14ac:dyDescent="0.55000000000000004">
      <c r="A70" s="4">
        <v>46067.424340277779</v>
      </c>
      <c r="B70" s="3" t="s">
        <v>37</v>
      </c>
      <c r="C70" s="3" t="s">
        <v>44</v>
      </c>
      <c r="D70" s="3" t="s">
        <v>61</v>
      </c>
      <c r="E70" s="3" t="s">
        <v>35</v>
      </c>
      <c r="F70" s="3">
        <v>8</v>
      </c>
      <c r="G70" s="3" t="s">
        <v>28</v>
      </c>
    </row>
    <row r="71" spans="1:7" x14ac:dyDescent="0.55000000000000004">
      <c r="A71" s="4">
        <v>46067.425104166665</v>
      </c>
      <c r="B71" s="3" t="s">
        <v>32</v>
      </c>
      <c r="C71" s="3" t="s">
        <v>33</v>
      </c>
      <c r="D71" s="3" t="s">
        <v>55</v>
      </c>
      <c r="E71" s="3" t="s">
        <v>35</v>
      </c>
      <c r="F71" s="3">
        <v>8</v>
      </c>
      <c r="G71" s="3" t="s">
        <v>28</v>
      </c>
    </row>
    <row r="72" spans="1:7" x14ac:dyDescent="0.55000000000000004">
      <c r="A72" s="4">
        <v>46067.425162037034</v>
      </c>
      <c r="B72" s="3" t="s">
        <v>32</v>
      </c>
      <c r="C72" s="3" t="s">
        <v>33</v>
      </c>
      <c r="D72" s="3" t="s">
        <v>56</v>
      </c>
      <c r="E72" s="3" t="s">
        <v>35</v>
      </c>
      <c r="F72" s="3">
        <v>9</v>
      </c>
      <c r="G72" s="3" t="s">
        <v>28</v>
      </c>
    </row>
    <row r="73" spans="1:7" x14ac:dyDescent="0.55000000000000004">
      <c r="A73" s="4">
        <v>46067.425219907411</v>
      </c>
      <c r="B73" s="3" t="s">
        <v>37</v>
      </c>
      <c r="C73" s="3" t="s">
        <v>44</v>
      </c>
      <c r="D73" s="3" t="s">
        <v>61</v>
      </c>
      <c r="E73" s="3" t="s">
        <v>35</v>
      </c>
      <c r="F73" s="3">
        <v>8</v>
      </c>
      <c r="G73" s="3" t="s">
        <v>28</v>
      </c>
    </row>
    <row r="74" spans="1:7" x14ac:dyDescent="0.55000000000000004">
      <c r="A74" s="4">
        <v>46067.426886574074</v>
      </c>
      <c r="B74" s="3" t="s">
        <v>37</v>
      </c>
      <c r="C74" s="3" t="s">
        <v>44</v>
      </c>
      <c r="D74" s="3" t="s">
        <v>61</v>
      </c>
      <c r="E74" s="3" t="s">
        <v>35</v>
      </c>
      <c r="F74" s="3">
        <v>8</v>
      </c>
      <c r="G74" s="3" t="s">
        <v>28</v>
      </c>
    </row>
    <row r="75" spans="1:7" x14ac:dyDescent="0.55000000000000004">
      <c r="A75" s="4">
        <v>46067.66611111111</v>
      </c>
      <c r="B75" s="3" t="s">
        <v>32</v>
      </c>
      <c r="C75" s="3" t="s">
        <v>33</v>
      </c>
      <c r="D75" s="3" t="s">
        <v>64</v>
      </c>
      <c r="E75" s="3" t="s">
        <v>35</v>
      </c>
      <c r="F75" s="3">
        <v>9</v>
      </c>
      <c r="G75" s="3" t="s">
        <v>28</v>
      </c>
    </row>
    <row r="76" spans="1:7" x14ac:dyDescent="0.55000000000000004">
      <c r="A76" s="4">
        <v>46067.666284722225</v>
      </c>
      <c r="B76" s="3" t="s">
        <v>32</v>
      </c>
      <c r="C76" s="3" t="s">
        <v>33</v>
      </c>
      <c r="D76" s="3" t="s">
        <v>67</v>
      </c>
      <c r="E76" s="3" t="s">
        <v>35</v>
      </c>
      <c r="F76" s="3">
        <v>6</v>
      </c>
      <c r="G76" s="3" t="s">
        <v>28</v>
      </c>
    </row>
    <row r="77" spans="1:7" x14ac:dyDescent="0.55000000000000004">
      <c r="A77" s="4">
        <v>46067.666377314818</v>
      </c>
      <c r="B77" s="3" t="s">
        <v>37</v>
      </c>
      <c r="C77" s="3" t="s">
        <v>44</v>
      </c>
      <c r="D77" s="3" t="s">
        <v>68</v>
      </c>
      <c r="E77" s="3" t="s">
        <v>35</v>
      </c>
      <c r="F77" s="3">
        <v>4</v>
      </c>
      <c r="G77" s="3" t="s">
        <v>28</v>
      </c>
    </row>
    <row r="78" spans="1:7" x14ac:dyDescent="0.55000000000000004">
      <c r="A78" s="4">
        <v>46067.666458333333</v>
      </c>
      <c r="B78" s="3" t="s">
        <v>37</v>
      </c>
      <c r="C78" s="3" t="s">
        <v>44</v>
      </c>
      <c r="D78" s="3" t="s">
        <v>68</v>
      </c>
      <c r="E78" s="3" t="s">
        <v>35</v>
      </c>
      <c r="F78" s="3">
        <v>4</v>
      </c>
      <c r="G78" s="3" t="s">
        <v>28</v>
      </c>
    </row>
    <row r="79" spans="1:7" x14ac:dyDescent="0.55000000000000004">
      <c r="A79" s="4">
        <v>46067.666828703703</v>
      </c>
      <c r="B79" s="3" t="s">
        <v>37</v>
      </c>
      <c r="C79" s="3" t="s">
        <v>44</v>
      </c>
      <c r="D79" s="3" t="s">
        <v>68</v>
      </c>
      <c r="E79" s="3" t="s">
        <v>35</v>
      </c>
      <c r="F79" s="3">
        <v>4</v>
      </c>
      <c r="G79" s="3" t="s">
        <v>28</v>
      </c>
    </row>
    <row r="80" spans="1:7" x14ac:dyDescent="0.55000000000000004">
      <c r="A80" s="4">
        <v>46067.666979166665</v>
      </c>
      <c r="B80" s="3" t="s">
        <v>37</v>
      </c>
      <c r="C80" s="3" t="s">
        <v>44</v>
      </c>
      <c r="D80" s="3" t="s">
        <v>68</v>
      </c>
      <c r="E80" s="3" t="s">
        <v>35</v>
      </c>
      <c r="F80" s="3">
        <v>4</v>
      </c>
      <c r="G80" s="3" t="s">
        <v>28</v>
      </c>
    </row>
    <row r="81" spans="1:7" x14ac:dyDescent="0.55000000000000004">
      <c r="A81" s="4">
        <v>46067.667233796295</v>
      </c>
      <c r="B81" s="3" t="s">
        <v>37</v>
      </c>
      <c r="C81" s="3" t="s">
        <v>44</v>
      </c>
      <c r="D81" s="3" t="s">
        <v>68</v>
      </c>
      <c r="E81" s="3" t="s">
        <v>35</v>
      </c>
      <c r="F81" s="3">
        <v>4</v>
      </c>
      <c r="G81" s="3" t="s">
        <v>28</v>
      </c>
    </row>
    <row r="82" spans="1:7" x14ac:dyDescent="0.55000000000000004">
      <c r="A82" s="4">
        <v>46067.66920138889</v>
      </c>
      <c r="B82" s="3" t="s">
        <v>32</v>
      </c>
      <c r="C82" s="3" t="s">
        <v>33</v>
      </c>
      <c r="D82" s="3" t="s">
        <v>64</v>
      </c>
      <c r="E82" s="3" t="s">
        <v>35</v>
      </c>
      <c r="F82" s="3">
        <v>7</v>
      </c>
      <c r="G82" s="3" t="s">
        <v>28</v>
      </c>
    </row>
    <row r="83" spans="1:7" x14ac:dyDescent="0.55000000000000004">
      <c r="A83" s="4">
        <v>46067.669571759259</v>
      </c>
      <c r="B83" s="3" t="s">
        <v>32</v>
      </c>
      <c r="C83" s="3" t="s">
        <v>33</v>
      </c>
      <c r="D83" s="3" t="s">
        <v>67</v>
      </c>
      <c r="E83" s="3" t="s">
        <v>35</v>
      </c>
      <c r="F83" s="3">
        <v>13</v>
      </c>
      <c r="G83" s="3" t="s">
        <v>28</v>
      </c>
    </row>
    <row r="84" spans="1:7" x14ac:dyDescent="0.55000000000000004">
      <c r="A84" s="4">
        <v>46067.669699074075</v>
      </c>
      <c r="B84" s="3" t="s">
        <v>37</v>
      </c>
      <c r="C84" s="3" t="s">
        <v>44</v>
      </c>
      <c r="D84" s="3" t="s">
        <v>70</v>
      </c>
      <c r="E84" s="3" t="s">
        <v>35</v>
      </c>
      <c r="F84" s="3">
        <v>8</v>
      </c>
      <c r="G84" s="3" t="s">
        <v>28</v>
      </c>
    </row>
    <row r="85" spans="1:7" x14ac:dyDescent="0.55000000000000004">
      <c r="A85" s="4">
        <v>46067.670960648145</v>
      </c>
      <c r="B85" s="3" t="s">
        <v>37</v>
      </c>
      <c r="C85" s="3" t="s">
        <v>44</v>
      </c>
      <c r="D85" s="3" t="s">
        <v>70</v>
      </c>
      <c r="E85" s="3" t="s">
        <v>35</v>
      </c>
      <c r="F85" s="3">
        <v>8</v>
      </c>
      <c r="G85" s="3" t="s">
        <v>28</v>
      </c>
    </row>
    <row r="86" spans="1:7" x14ac:dyDescent="0.55000000000000004">
      <c r="A86" s="4">
        <v>46067.672256944446</v>
      </c>
      <c r="B86" s="3" t="s">
        <v>32</v>
      </c>
      <c r="C86" s="3" t="s">
        <v>33</v>
      </c>
      <c r="D86" s="3" t="s">
        <v>64</v>
      </c>
      <c r="E86" s="3" t="s">
        <v>35</v>
      </c>
      <c r="F86" s="3">
        <v>7</v>
      </c>
      <c r="G86" s="3" t="s">
        <v>28</v>
      </c>
    </row>
    <row r="87" spans="1:7" x14ac:dyDescent="0.55000000000000004">
      <c r="A87" s="4">
        <v>46067.672372685185</v>
      </c>
      <c r="B87" s="3" t="s">
        <v>37</v>
      </c>
      <c r="C87" s="3" t="s">
        <v>44</v>
      </c>
      <c r="D87" s="3" t="s">
        <v>70</v>
      </c>
      <c r="E87" s="3" t="s">
        <v>35</v>
      </c>
      <c r="F87" s="3">
        <v>8</v>
      </c>
      <c r="G87" s="3" t="s">
        <v>28</v>
      </c>
    </row>
    <row r="88" spans="1:7" x14ac:dyDescent="0.55000000000000004">
      <c r="A88" s="4">
        <v>46067.673078703701</v>
      </c>
      <c r="B88" s="3" t="s">
        <v>37</v>
      </c>
      <c r="C88" s="3" t="s">
        <v>44</v>
      </c>
      <c r="D88" s="3" t="s">
        <v>70</v>
      </c>
      <c r="E88" s="3" t="s">
        <v>35</v>
      </c>
      <c r="F88" s="3">
        <v>8</v>
      </c>
      <c r="G88" s="3" t="s">
        <v>28</v>
      </c>
    </row>
    <row r="89" spans="1:7" x14ac:dyDescent="0.55000000000000004">
      <c r="A89" s="4">
        <v>46067.67386574074</v>
      </c>
      <c r="B89" s="3" t="s">
        <v>37</v>
      </c>
      <c r="C89" s="3" t="s">
        <v>44</v>
      </c>
      <c r="D89" s="3" t="s">
        <v>70</v>
      </c>
      <c r="E89" s="3" t="s">
        <v>35</v>
      </c>
      <c r="F89" s="3">
        <v>8</v>
      </c>
      <c r="G89" s="3" t="s">
        <v>28</v>
      </c>
    </row>
    <row r="90" spans="1:7" x14ac:dyDescent="0.55000000000000004">
      <c r="A90" s="4">
        <v>46067.674027777779</v>
      </c>
      <c r="B90" s="3" t="s">
        <v>32</v>
      </c>
      <c r="C90" s="3" t="s">
        <v>33</v>
      </c>
      <c r="D90" s="3" t="s">
        <v>64</v>
      </c>
      <c r="E90" s="3" t="s">
        <v>35</v>
      </c>
      <c r="F90" s="3">
        <v>7</v>
      </c>
      <c r="G90" s="3" t="s">
        <v>28</v>
      </c>
    </row>
    <row r="91" spans="1:7" x14ac:dyDescent="0.55000000000000004">
      <c r="A91" s="4">
        <v>46067.674178240741</v>
      </c>
      <c r="B91" s="3" t="s">
        <v>32</v>
      </c>
      <c r="C91" s="3" t="s">
        <v>33</v>
      </c>
      <c r="D91" s="3" t="s">
        <v>64</v>
      </c>
      <c r="E91" s="3" t="s">
        <v>35</v>
      </c>
      <c r="F91" s="3">
        <v>7</v>
      </c>
      <c r="G91" s="3" t="s">
        <v>28</v>
      </c>
    </row>
    <row r="92" spans="1:7" x14ac:dyDescent="0.55000000000000004">
      <c r="A92" s="4">
        <v>46067.674259259256</v>
      </c>
      <c r="B92" s="3" t="s">
        <v>32</v>
      </c>
      <c r="C92" s="3" t="s">
        <v>33</v>
      </c>
      <c r="D92" s="3" t="s">
        <v>67</v>
      </c>
      <c r="E92" s="3" t="s">
        <v>35</v>
      </c>
      <c r="F92" s="3">
        <v>13</v>
      </c>
      <c r="G92" s="3" t="s">
        <v>28</v>
      </c>
    </row>
    <row r="93" spans="1:7" x14ac:dyDescent="0.55000000000000004">
      <c r="A93" s="4">
        <v>46067.676863425928</v>
      </c>
      <c r="B93" s="3" t="s">
        <v>37</v>
      </c>
      <c r="C93" s="3" t="s">
        <v>44</v>
      </c>
      <c r="D93" s="3" t="s">
        <v>70</v>
      </c>
      <c r="E93" s="3" t="s">
        <v>35</v>
      </c>
      <c r="F93" s="3">
        <v>8</v>
      </c>
      <c r="G93" s="3" t="s">
        <v>28</v>
      </c>
    </row>
    <row r="94" spans="1:7" x14ac:dyDescent="0.55000000000000004">
      <c r="A94" s="4">
        <v>46067.693032407406</v>
      </c>
      <c r="B94" s="3" t="s">
        <v>32</v>
      </c>
      <c r="C94" s="3" t="s">
        <v>33</v>
      </c>
      <c r="D94" s="3" t="s">
        <v>64</v>
      </c>
      <c r="E94" s="3" t="s">
        <v>35</v>
      </c>
      <c r="F94" s="3">
        <v>7</v>
      </c>
      <c r="G94" s="3" t="s">
        <v>28</v>
      </c>
    </row>
    <row r="95" spans="1:7" x14ac:dyDescent="0.55000000000000004">
      <c r="A95" s="4">
        <v>46067.693113425928</v>
      </c>
      <c r="B95" s="3" t="s">
        <v>32</v>
      </c>
      <c r="C95" s="3" t="s">
        <v>33</v>
      </c>
      <c r="D95" s="3" t="s">
        <v>73</v>
      </c>
      <c r="E95" s="3" t="s">
        <v>35</v>
      </c>
      <c r="F95" s="3">
        <v>7</v>
      </c>
      <c r="G95" s="3" t="s">
        <v>28</v>
      </c>
    </row>
    <row r="96" spans="1:7" x14ac:dyDescent="0.55000000000000004">
      <c r="A96" s="4">
        <v>46067.693240740744</v>
      </c>
      <c r="B96" s="3" t="s">
        <v>37</v>
      </c>
      <c r="C96" s="3" t="s">
        <v>44</v>
      </c>
      <c r="D96" s="3" t="s">
        <v>74</v>
      </c>
      <c r="E96" s="3" t="s">
        <v>35</v>
      </c>
      <c r="F96" s="3">
        <v>5</v>
      </c>
      <c r="G96" s="3" t="s">
        <v>28</v>
      </c>
    </row>
    <row r="97" spans="1:7" x14ac:dyDescent="0.55000000000000004">
      <c r="A97" s="4">
        <v>46067.693402777775</v>
      </c>
      <c r="B97" s="3" t="s">
        <v>37</v>
      </c>
      <c r="C97" s="3" t="s">
        <v>44</v>
      </c>
      <c r="D97" s="3" t="s">
        <v>74</v>
      </c>
      <c r="E97" s="3" t="s">
        <v>35</v>
      </c>
      <c r="F97" s="3">
        <v>5</v>
      </c>
      <c r="G97" s="3" t="s">
        <v>28</v>
      </c>
    </row>
    <row r="98" spans="1:7" x14ac:dyDescent="0.55000000000000004">
      <c r="A98" s="4">
        <v>46067.694016203706</v>
      </c>
      <c r="B98" s="3" t="s">
        <v>37</v>
      </c>
      <c r="C98" s="3" t="s">
        <v>44</v>
      </c>
      <c r="D98" s="3" t="s">
        <v>75</v>
      </c>
      <c r="E98" s="3" t="s">
        <v>35</v>
      </c>
      <c r="F98" s="3">
        <v>7</v>
      </c>
      <c r="G98" s="3" t="s">
        <v>28</v>
      </c>
    </row>
    <row r="99" spans="1:7" x14ac:dyDescent="0.55000000000000004">
      <c r="A99" s="4">
        <v>46067.694560185184</v>
      </c>
      <c r="B99" s="3" t="s">
        <v>39</v>
      </c>
      <c r="C99" s="3" t="s">
        <v>44</v>
      </c>
      <c r="D99" s="3" t="s">
        <v>40</v>
      </c>
      <c r="E99" s="3" t="s">
        <v>35</v>
      </c>
      <c r="F99" s="3">
        <v>4</v>
      </c>
      <c r="G99" s="3" t="s">
        <v>28</v>
      </c>
    </row>
    <row r="100" spans="1:7" x14ac:dyDescent="0.55000000000000004">
      <c r="A100" s="4">
        <v>46067.696250000001</v>
      </c>
      <c r="B100" s="3" t="s">
        <v>37</v>
      </c>
      <c r="C100" s="3" t="s">
        <v>44</v>
      </c>
      <c r="D100" s="3" t="s">
        <v>75</v>
      </c>
      <c r="E100" s="3" t="s">
        <v>35</v>
      </c>
      <c r="F100" s="3">
        <v>7</v>
      </c>
      <c r="G100" s="3" t="s">
        <v>28</v>
      </c>
    </row>
    <row r="101" spans="1:7" x14ac:dyDescent="0.55000000000000004">
      <c r="A101" s="4">
        <v>46067.696319444447</v>
      </c>
      <c r="B101" s="3" t="s">
        <v>39</v>
      </c>
      <c r="C101" s="3" t="s">
        <v>44</v>
      </c>
      <c r="D101" s="3" t="s">
        <v>40</v>
      </c>
      <c r="E101" s="3" t="s">
        <v>35</v>
      </c>
      <c r="F101" s="3">
        <v>4</v>
      </c>
      <c r="G101" s="3" t="s">
        <v>28</v>
      </c>
    </row>
    <row r="102" spans="1:7" x14ac:dyDescent="0.55000000000000004">
      <c r="A102" s="4">
        <v>46067.762453703705</v>
      </c>
      <c r="B102" s="3" t="s">
        <v>32</v>
      </c>
      <c r="C102" s="3" t="s">
        <v>33</v>
      </c>
      <c r="D102" s="3" t="s">
        <v>64</v>
      </c>
      <c r="E102" s="3" t="s">
        <v>35</v>
      </c>
      <c r="F102" s="3">
        <v>11</v>
      </c>
      <c r="G102" s="3" t="s">
        <v>28</v>
      </c>
    </row>
    <row r="103" spans="1:7" x14ac:dyDescent="0.55000000000000004">
      <c r="A103" s="4">
        <v>46067.762523148151</v>
      </c>
      <c r="B103" s="3" t="s">
        <v>32</v>
      </c>
      <c r="C103" s="3" t="s">
        <v>33</v>
      </c>
      <c r="D103" s="3" t="s">
        <v>67</v>
      </c>
      <c r="E103" s="3" t="s">
        <v>35</v>
      </c>
      <c r="F103" s="3">
        <v>24</v>
      </c>
      <c r="G103" s="3" t="s">
        <v>28</v>
      </c>
    </row>
    <row r="104" spans="1:7" x14ac:dyDescent="0.55000000000000004">
      <c r="A104" s="4">
        <v>46067.762604166666</v>
      </c>
      <c r="B104" s="3" t="s">
        <v>37</v>
      </c>
      <c r="C104" s="3" t="s">
        <v>78</v>
      </c>
      <c r="D104" s="3" t="s">
        <v>151</v>
      </c>
      <c r="E104" s="3" t="s">
        <v>35</v>
      </c>
      <c r="F104" s="3">
        <v>0</v>
      </c>
      <c r="G104" s="3" t="s">
        <v>28</v>
      </c>
    </row>
    <row r="105" spans="1:7" x14ac:dyDescent="0.55000000000000004">
      <c r="A105" s="4">
        <v>46067.763287037036</v>
      </c>
      <c r="B105" s="3" t="s">
        <v>32</v>
      </c>
      <c r="C105" s="3" t="s">
        <v>33</v>
      </c>
      <c r="D105" s="3" t="s">
        <v>64</v>
      </c>
      <c r="E105" s="3" t="s">
        <v>35</v>
      </c>
      <c r="F105" s="3">
        <v>11</v>
      </c>
      <c r="G105" s="3" t="s">
        <v>28</v>
      </c>
    </row>
    <row r="106" spans="1:7" x14ac:dyDescent="0.55000000000000004">
      <c r="A106" s="4">
        <v>46067.763368055559</v>
      </c>
      <c r="B106" s="3" t="s">
        <v>32</v>
      </c>
      <c r="C106" s="3" t="s">
        <v>33</v>
      </c>
      <c r="D106" s="3" t="s">
        <v>67</v>
      </c>
      <c r="E106" s="3" t="s">
        <v>35</v>
      </c>
      <c r="F106" s="3">
        <v>24</v>
      </c>
      <c r="G106" s="3" t="s">
        <v>28</v>
      </c>
    </row>
    <row r="107" spans="1:7" x14ac:dyDescent="0.55000000000000004">
      <c r="A107" s="4">
        <v>46067.763425925928</v>
      </c>
      <c r="B107" s="3" t="s">
        <v>37</v>
      </c>
      <c r="C107" s="3" t="s">
        <v>78</v>
      </c>
      <c r="D107" s="3" t="s">
        <v>151</v>
      </c>
      <c r="E107" s="3" t="s">
        <v>35</v>
      </c>
      <c r="F107" s="3">
        <v>0</v>
      </c>
      <c r="G107" s="3" t="s">
        <v>28</v>
      </c>
    </row>
    <row r="108" spans="1:7" x14ac:dyDescent="0.55000000000000004">
      <c r="A108" s="4">
        <v>46067.764652777776</v>
      </c>
      <c r="B108" s="3" t="s">
        <v>37</v>
      </c>
      <c r="C108" s="3" t="s">
        <v>78</v>
      </c>
      <c r="D108" s="3" t="s">
        <v>152</v>
      </c>
      <c r="E108" s="3" t="s">
        <v>35</v>
      </c>
      <c r="F108" s="3">
        <v>8</v>
      </c>
      <c r="G108" s="3" t="s">
        <v>28</v>
      </c>
    </row>
    <row r="109" spans="1:7" x14ac:dyDescent="0.55000000000000004">
      <c r="A109" s="4">
        <v>46067.772013888891</v>
      </c>
      <c r="B109" s="3" t="s">
        <v>32</v>
      </c>
      <c r="C109" s="3" t="s">
        <v>33</v>
      </c>
      <c r="D109" s="3" t="s">
        <v>64</v>
      </c>
      <c r="E109" s="3" t="s">
        <v>35</v>
      </c>
      <c r="F109" s="3">
        <v>11</v>
      </c>
      <c r="G109" s="3" t="s">
        <v>28</v>
      </c>
    </row>
    <row r="110" spans="1:7" x14ac:dyDescent="0.55000000000000004">
      <c r="A110" s="4">
        <v>46067.772094907406</v>
      </c>
      <c r="B110" s="3" t="s">
        <v>32</v>
      </c>
      <c r="C110" s="3" t="s">
        <v>33</v>
      </c>
      <c r="D110" s="3" t="s">
        <v>67</v>
      </c>
      <c r="E110" s="3" t="s">
        <v>35</v>
      </c>
      <c r="F110" s="3">
        <v>24</v>
      </c>
      <c r="G110" s="3" t="s">
        <v>28</v>
      </c>
    </row>
    <row r="111" spans="1:7" x14ac:dyDescent="0.55000000000000004">
      <c r="A111" s="4">
        <v>46067.772129629629</v>
      </c>
      <c r="B111" s="3" t="s">
        <v>37</v>
      </c>
      <c r="C111" s="3" t="s">
        <v>78</v>
      </c>
      <c r="D111" s="3" t="s">
        <v>152</v>
      </c>
      <c r="E111" s="3" t="s">
        <v>35</v>
      </c>
      <c r="F111" s="3">
        <v>8</v>
      </c>
      <c r="G111" s="3" t="s">
        <v>28</v>
      </c>
    </row>
    <row r="112" spans="1:7" x14ac:dyDescent="0.55000000000000004">
      <c r="A112" s="4">
        <v>46067.774444444447</v>
      </c>
      <c r="B112" s="3" t="s">
        <v>32</v>
      </c>
      <c r="C112" s="3" t="s">
        <v>33</v>
      </c>
      <c r="D112" s="3" t="s">
        <v>64</v>
      </c>
      <c r="E112" s="3" t="s">
        <v>35</v>
      </c>
      <c r="F112" s="3">
        <v>11</v>
      </c>
      <c r="G112" s="3" t="s">
        <v>28</v>
      </c>
    </row>
    <row r="113" spans="1:7" x14ac:dyDescent="0.55000000000000004">
      <c r="A113" s="4">
        <v>46067.774525462963</v>
      </c>
      <c r="B113" s="3" t="s">
        <v>32</v>
      </c>
      <c r="C113" s="3" t="s">
        <v>33</v>
      </c>
      <c r="D113" s="3" t="s">
        <v>67</v>
      </c>
      <c r="E113" s="3" t="s">
        <v>35</v>
      </c>
      <c r="F113" s="3">
        <v>24</v>
      </c>
      <c r="G113" s="3" t="s">
        <v>28</v>
      </c>
    </row>
    <row r="114" spans="1:7" x14ac:dyDescent="0.55000000000000004">
      <c r="A114" s="4">
        <v>46067.774594907409</v>
      </c>
      <c r="B114" s="3" t="s">
        <v>37</v>
      </c>
      <c r="C114" s="3" t="s">
        <v>78</v>
      </c>
      <c r="D114" s="3" t="s">
        <v>152</v>
      </c>
      <c r="E114" s="3" t="s">
        <v>35</v>
      </c>
      <c r="F114" s="3">
        <v>8</v>
      </c>
      <c r="G114" s="3" t="s">
        <v>28</v>
      </c>
    </row>
    <row r="115" spans="1:7" x14ac:dyDescent="0.55000000000000004">
      <c r="A115" s="4">
        <v>46067.774652777778</v>
      </c>
      <c r="B115" s="3" t="s">
        <v>39</v>
      </c>
      <c r="C115" s="3" t="s">
        <v>78</v>
      </c>
      <c r="D115" s="3" t="s">
        <v>153</v>
      </c>
      <c r="E115" s="3" t="s">
        <v>35</v>
      </c>
      <c r="F115" s="3">
        <v>0</v>
      </c>
      <c r="G115" s="3" t="s">
        <v>28</v>
      </c>
    </row>
    <row r="116" spans="1:7" x14ac:dyDescent="0.55000000000000004">
      <c r="A116" s="4">
        <v>46067.779236111113</v>
      </c>
      <c r="B116" s="3" t="s">
        <v>32</v>
      </c>
      <c r="C116" s="3" t="s">
        <v>33</v>
      </c>
      <c r="D116" s="3" t="s">
        <v>64</v>
      </c>
      <c r="E116" s="3" t="s">
        <v>35</v>
      </c>
      <c r="F116" s="3">
        <v>11</v>
      </c>
      <c r="G116" s="3" t="s">
        <v>28</v>
      </c>
    </row>
    <row r="117" spans="1:7" x14ac:dyDescent="0.55000000000000004">
      <c r="A117" s="4">
        <v>46067.779305555552</v>
      </c>
      <c r="B117" s="3" t="s">
        <v>32</v>
      </c>
      <c r="C117" s="3" t="s">
        <v>33</v>
      </c>
      <c r="D117" s="3" t="s">
        <v>67</v>
      </c>
      <c r="E117" s="3" t="s">
        <v>35</v>
      </c>
      <c r="F117" s="3">
        <v>24</v>
      </c>
      <c r="G117" s="3" t="s">
        <v>28</v>
      </c>
    </row>
    <row r="118" spans="1:7" x14ac:dyDescent="0.55000000000000004">
      <c r="A118" s="4">
        <v>46067.779340277775</v>
      </c>
      <c r="B118" s="3" t="s">
        <v>37</v>
      </c>
      <c r="C118" s="3" t="s">
        <v>78</v>
      </c>
      <c r="D118" s="3" t="s">
        <v>152</v>
      </c>
      <c r="E118" s="3" t="s">
        <v>35</v>
      </c>
      <c r="F118" s="3">
        <v>8</v>
      </c>
      <c r="G118" s="3" t="s">
        <v>28</v>
      </c>
    </row>
    <row r="119" spans="1:7" x14ac:dyDescent="0.55000000000000004">
      <c r="A119" s="4">
        <v>46067.779386574075</v>
      </c>
      <c r="B119" s="3" t="s">
        <v>39</v>
      </c>
      <c r="C119" s="3" t="s">
        <v>78</v>
      </c>
      <c r="D119" s="3" t="s">
        <v>154</v>
      </c>
      <c r="E119" s="3" t="s">
        <v>35</v>
      </c>
      <c r="F119" s="3">
        <v>0</v>
      </c>
      <c r="G119" s="3" t="s">
        <v>28</v>
      </c>
    </row>
    <row r="120" spans="1:7" x14ac:dyDescent="0.55000000000000004">
      <c r="A120" s="4">
        <v>46067.779918981483</v>
      </c>
      <c r="B120" s="3" t="s">
        <v>37</v>
      </c>
      <c r="C120" s="3" t="s">
        <v>78</v>
      </c>
      <c r="D120" s="3" t="s">
        <v>152</v>
      </c>
      <c r="E120" s="3" t="s">
        <v>35</v>
      </c>
      <c r="F120" s="3">
        <v>8</v>
      </c>
      <c r="G120" s="3" t="s">
        <v>28</v>
      </c>
    </row>
    <row r="121" spans="1:7" x14ac:dyDescent="0.55000000000000004">
      <c r="A121" s="4">
        <v>46067.780034722222</v>
      </c>
      <c r="B121" s="3" t="s">
        <v>39</v>
      </c>
      <c r="C121" s="3" t="s">
        <v>78</v>
      </c>
      <c r="D121" s="3" t="s">
        <v>155</v>
      </c>
      <c r="E121" s="3" t="s">
        <v>35</v>
      </c>
      <c r="F121" s="3">
        <v>0</v>
      </c>
      <c r="G121" s="3" t="s">
        <v>28</v>
      </c>
    </row>
    <row r="122" spans="1:7" x14ac:dyDescent="0.55000000000000004">
      <c r="A122" s="4">
        <v>46067.780347222222</v>
      </c>
      <c r="B122" s="3" t="s">
        <v>39</v>
      </c>
      <c r="C122" s="3" t="s">
        <v>78</v>
      </c>
      <c r="D122" s="3" t="s">
        <v>156</v>
      </c>
      <c r="E122" s="3" t="s">
        <v>35</v>
      </c>
      <c r="F122" s="3">
        <v>4</v>
      </c>
      <c r="G122" s="3" t="s">
        <v>28</v>
      </c>
    </row>
    <row r="123" spans="1:7" x14ac:dyDescent="0.55000000000000004">
      <c r="A123" s="4">
        <v>46067.780914351853</v>
      </c>
      <c r="B123" s="3" t="s">
        <v>39</v>
      </c>
      <c r="C123" s="3" t="s">
        <v>78</v>
      </c>
      <c r="D123" s="3" t="s">
        <v>157</v>
      </c>
      <c r="E123" s="3" t="s">
        <v>35</v>
      </c>
      <c r="F123" s="3">
        <v>4</v>
      </c>
      <c r="G123" s="3" t="s">
        <v>28</v>
      </c>
    </row>
    <row r="124" spans="1:7" x14ac:dyDescent="0.55000000000000004">
      <c r="A124" s="4">
        <v>46067.782349537039</v>
      </c>
      <c r="B124" s="3" t="s">
        <v>37</v>
      </c>
      <c r="C124" s="3" t="s">
        <v>78</v>
      </c>
      <c r="D124" s="3" t="s">
        <v>152</v>
      </c>
      <c r="E124" s="3" t="s">
        <v>35</v>
      </c>
      <c r="F124" s="3">
        <v>8</v>
      </c>
      <c r="G124" s="3" t="s">
        <v>28</v>
      </c>
    </row>
    <row r="125" spans="1:7" x14ac:dyDescent="0.55000000000000004">
      <c r="A125" s="4">
        <v>46067.782870370371</v>
      </c>
      <c r="B125" s="3" t="s">
        <v>37</v>
      </c>
      <c r="C125" s="3" t="s">
        <v>78</v>
      </c>
      <c r="D125" s="3" t="s">
        <v>152</v>
      </c>
      <c r="E125" s="3" t="s">
        <v>35</v>
      </c>
      <c r="F125" s="3">
        <v>8</v>
      </c>
      <c r="G125" s="3" t="s">
        <v>28</v>
      </c>
    </row>
    <row r="126" spans="1:7" x14ac:dyDescent="0.55000000000000004">
      <c r="A126" s="4">
        <v>46067.783229166664</v>
      </c>
      <c r="B126" s="3" t="s">
        <v>37</v>
      </c>
      <c r="C126" s="3" t="s">
        <v>78</v>
      </c>
      <c r="D126" s="3" t="s">
        <v>159</v>
      </c>
      <c r="E126" s="3" t="s">
        <v>35</v>
      </c>
      <c r="F126" s="3">
        <v>8</v>
      </c>
      <c r="G126" s="3" t="s">
        <v>28</v>
      </c>
    </row>
    <row r="127" spans="1:7" x14ac:dyDescent="0.55000000000000004">
      <c r="A127" s="4">
        <v>46067.783252314817</v>
      </c>
      <c r="B127" s="3" t="s">
        <v>39</v>
      </c>
      <c r="C127" s="3" t="s">
        <v>78</v>
      </c>
      <c r="D127" s="3" t="s">
        <v>157</v>
      </c>
      <c r="E127" s="3" t="s">
        <v>35</v>
      </c>
      <c r="F127" s="3">
        <v>8</v>
      </c>
      <c r="G127" s="3" t="s">
        <v>28</v>
      </c>
    </row>
    <row r="128" spans="1:7" x14ac:dyDescent="0.55000000000000004">
      <c r="A128" s="8">
        <v>46067.783946759257</v>
      </c>
      <c r="B128" s="6" t="s">
        <v>39</v>
      </c>
      <c r="C128" s="6" t="s">
        <v>78</v>
      </c>
      <c r="D128" s="6" t="s">
        <v>160</v>
      </c>
      <c r="E128" s="6" t="s">
        <v>69</v>
      </c>
      <c r="F128" s="6">
        <v>0</v>
      </c>
      <c r="G128" s="6" t="s">
        <v>28</v>
      </c>
    </row>
    <row r="129" spans="1:7" x14ac:dyDescent="0.55000000000000004">
      <c r="A129" s="8">
        <v>46067.784409722219</v>
      </c>
      <c r="B129" s="6" t="s">
        <v>32</v>
      </c>
      <c r="C129" s="6" t="s">
        <v>33</v>
      </c>
      <c r="D129" s="6" t="s">
        <v>64</v>
      </c>
      <c r="E129" s="6" t="s">
        <v>35</v>
      </c>
      <c r="F129" s="6">
        <v>11</v>
      </c>
      <c r="G129" s="6" t="s">
        <v>28</v>
      </c>
    </row>
    <row r="130" spans="1:7" x14ac:dyDescent="0.55000000000000004">
      <c r="A130" s="8">
        <v>46067.784479166665</v>
      </c>
      <c r="B130" s="6" t="s">
        <v>32</v>
      </c>
      <c r="C130" s="6" t="s">
        <v>33</v>
      </c>
      <c r="D130" s="6" t="s">
        <v>67</v>
      </c>
      <c r="E130" s="6" t="s">
        <v>35</v>
      </c>
      <c r="F130" s="6">
        <v>24</v>
      </c>
      <c r="G130" s="6" t="s">
        <v>28</v>
      </c>
    </row>
    <row r="131" spans="1:7" x14ac:dyDescent="0.55000000000000004">
      <c r="A131" s="8">
        <v>46067.784502314818</v>
      </c>
      <c r="B131" s="6" t="s">
        <v>37</v>
      </c>
      <c r="C131" s="6" t="s">
        <v>78</v>
      </c>
      <c r="D131" s="6" t="s">
        <v>159</v>
      </c>
      <c r="E131" s="6" t="s">
        <v>35</v>
      </c>
      <c r="F131" s="6">
        <v>8</v>
      </c>
      <c r="G131" s="6" t="s">
        <v>28</v>
      </c>
    </row>
    <row r="132" spans="1:7" x14ac:dyDescent="0.55000000000000004">
      <c r="A132" s="8">
        <v>46067.784537037034</v>
      </c>
      <c r="B132" s="6" t="s">
        <v>39</v>
      </c>
      <c r="C132" s="6" t="s">
        <v>78</v>
      </c>
      <c r="D132" s="6" t="s">
        <v>160</v>
      </c>
      <c r="E132" s="6" t="s">
        <v>69</v>
      </c>
      <c r="F132" s="6">
        <v>0</v>
      </c>
      <c r="G132" s="6" t="s">
        <v>28</v>
      </c>
    </row>
    <row r="133" spans="1:7" x14ac:dyDescent="0.55000000000000004">
      <c r="A133" s="8">
        <v>46067.784884259258</v>
      </c>
      <c r="B133" s="6" t="s">
        <v>32</v>
      </c>
      <c r="C133" s="6" t="s">
        <v>33</v>
      </c>
      <c r="D133" s="6" t="s">
        <v>64</v>
      </c>
      <c r="E133" s="6" t="s">
        <v>35</v>
      </c>
      <c r="F133" s="6">
        <v>11</v>
      </c>
      <c r="G133" s="6" t="s">
        <v>28</v>
      </c>
    </row>
    <row r="134" spans="1:7" x14ac:dyDescent="0.55000000000000004">
      <c r="A134" s="8">
        <v>46067.78496527778</v>
      </c>
      <c r="B134" s="6" t="s">
        <v>32</v>
      </c>
      <c r="C134" s="6" t="s">
        <v>33</v>
      </c>
      <c r="D134" s="6" t="s">
        <v>67</v>
      </c>
      <c r="E134" s="6" t="s">
        <v>35</v>
      </c>
      <c r="F134" s="6">
        <v>24</v>
      </c>
      <c r="G134" s="6" t="s">
        <v>28</v>
      </c>
    </row>
    <row r="135" spans="1:7" x14ac:dyDescent="0.55000000000000004">
      <c r="A135" s="8">
        <v>46067.785000000003</v>
      </c>
      <c r="B135" s="6" t="s">
        <v>37</v>
      </c>
      <c r="C135" s="6" t="s">
        <v>78</v>
      </c>
      <c r="D135" s="6" t="s">
        <v>159</v>
      </c>
      <c r="E135" s="6" t="s">
        <v>35</v>
      </c>
      <c r="F135" s="6">
        <v>8</v>
      </c>
      <c r="G135" s="6" t="s">
        <v>28</v>
      </c>
    </row>
    <row r="136" spans="1:7" x14ac:dyDescent="0.55000000000000004">
      <c r="A136" s="8">
        <v>46067.78502314815</v>
      </c>
      <c r="B136" s="6" t="s">
        <v>39</v>
      </c>
      <c r="C136" s="6" t="s">
        <v>78</v>
      </c>
      <c r="D136" s="6" t="s">
        <v>156</v>
      </c>
      <c r="E136" s="6" t="s">
        <v>35</v>
      </c>
      <c r="F136" s="6">
        <v>8</v>
      </c>
      <c r="G136" s="6" t="s">
        <v>28</v>
      </c>
    </row>
    <row r="137" spans="1:7" x14ac:dyDescent="0.55000000000000004">
      <c r="A137" s="8">
        <v>46067.785312499997</v>
      </c>
      <c r="B137" s="6" t="s">
        <v>37</v>
      </c>
      <c r="C137" s="6" t="s">
        <v>79</v>
      </c>
      <c r="D137" s="6" t="s">
        <v>161</v>
      </c>
      <c r="E137" s="6" t="s">
        <v>35</v>
      </c>
      <c r="F137" s="6">
        <v>0</v>
      </c>
      <c r="G137" s="6" t="s">
        <v>28</v>
      </c>
    </row>
    <row r="138" spans="1:7" x14ac:dyDescent="0.55000000000000004">
      <c r="A138" s="8">
        <v>46067.785775462966</v>
      </c>
      <c r="B138" s="6" t="s">
        <v>37</v>
      </c>
      <c r="C138" s="6" t="s">
        <v>79</v>
      </c>
      <c r="D138" s="6" t="s">
        <v>161</v>
      </c>
      <c r="E138" s="6" t="s">
        <v>35</v>
      </c>
      <c r="F138" s="6">
        <v>0</v>
      </c>
      <c r="G138" s="6" t="s">
        <v>28</v>
      </c>
    </row>
    <row r="139" spans="1:7" x14ac:dyDescent="0.55000000000000004">
      <c r="A139" s="8">
        <v>46067.786249999997</v>
      </c>
      <c r="B139" s="6" t="s">
        <v>37</v>
      </c>
      <c r="C139" s="6" t="s">
        <v>80</v>
      </c>
      <c r="D139" s="6" t="s">
        <v>162</v>
      </c>
      <c r="E139" s="6" t="s">
        <v>35</v>
      </c>
      <c r="F139" s="6">
        <v>0</v>
      </c>
      <c r="G139" s="6" t="s">
        <v>28</v>
      </c>
    </row>
    <row r="140" spans="1:7" x14ac:dyDescent="0.55000000000000004">
      <c r="A140" s="8">
        <v>46067.802037037036</v>
      </c>
      <c r="B140" s="6" t="s">
        <v>32</v>
      </c>
      <c r="C140" s="6" t="s">
        <v>33</v>
      </c>
      <c r="D140" s="6" t="s">
        <v>64</v>
      </c>
      <c r="E140" s="6" t="s">
        <v>35</v>
      </c>
      <c r="F140" s="6">
        <v>11</v>
      </c>
      <c r="G140" s="6" t="s">
        <v>28</v>
      </c>
    </row>
    <row r="141" spans="1:7" x14ac:dyDescent="0.55000000000000004">
      <c r="A141" s="8">
        <v>46067.802152777775</v>
      </c>
      <c r="B141" s="6" t="s">
        <v>32</v>
      </c>
      <c r="C141" s="6" t="s">
        <v>33</v>
      </c>
      <c r="D141" s="6" t="s">
        <v>67</v>
      </c>
      <c r="E141" s="6" t="s">
        <v>35</v>
      </c>
      <c r="F141" s="6">
        <v>24</v>
      </c>
      <c r="G141" s="6" t="s">
        <v>28</v>
      </c>
    </row>
    <row r="142" spans="1:7" x14ac:dyDescent="0.55000000000000004">
      <c r="A142" s="8">
        <v>46067.802199074074</v>
      </c>
      <c r="B142" s="6" t="s">
        <v>37</v>
      </c>
      <c r="C142" s="6" t="s">
        <v>78</v>
      </c>
      <c r="D142" s="6" t="s">
        <v>159</v>
      </c>
      <c r="E142" s="6" t="s">
        <v>35</v>
      </c>
      <c r="F142" s="6">
        <v>8</v>
      </c>
      <c r="G142" s="6" t="s">
        <v>28</v>
      </c>
    </row>
    <row r="143" spans="1:7" x14ac:dyDescent="0.55000000000000004">
      <c r="A143" s="8">
        <v>46067.802233796298</v>
      </c>
      <c r="B143" s="6" t="s">
        <v>39</v>
      </c>
      <c r="C143" s="6" t="s">
        <v>78</v>
      </c>
      <c r="D143" s="6" t="s">
        <v>157</v>
      </c>
      <c r="E143" s="6" t="s">
        <v>35</v>
      </c>
      <c r="F143" s="6">
        <v>8</v>
      </c>
      <c r="G143" s="6" t="s">
        <v>28</v>
      </c>
    </row>
    <row r="144" spans="1:7" x14ac:dyDescent="0.55000000000000004">
      <c r="A144" s="8">
        <v>46067.806770833333</v>
      </c>
      <c r="B144" s="6" t="s">
        <v>32</v>
      </c>
      <c r="C144" s="6" t="s">
        <v>33</v>
      </c>
      <c r="D144" s="6" t="s">
        <v>64</v>
      </c>
      <c r="E144" s="6" t="s">
        <v>35</v>
      </c>
      <c r="F144" s="6">
        <v>11</v>
      </c>
      <c r="G144" s="6" t="s">
        <v>28</v>
      </c>
    </row>
    <row r="145" spans="1:7" x14ac:dyDescent="0.55000000000000004">
      <c r="A145" s="8">
        <v>46067.806851851848</v>
      </c>
      <c r="B145" s="6" t="s">
        <v>32</v>
      </c>
      <c r="C145" s="6" t="s">
        <v>33</v>
      </c>
      <c r="D145" s="6" t="s">
        <v>67</v>
      </c>
      <c r="E145" s="6" t="s">
        <v>35</v>
      </c>
      <c r="F145" s="6">
        <v>24</v>
      </c>
      <c r="G145" s="6" t="s">
        <v>28</v>
      </c>
    </row>
    <row r="146" spans="1:7" x14ac:dyDescent="0.55000000000000004">
      <c r="A146" s="8">
        <v>46067.806956018518</v>
      </c>
      <c r="B146" s="6" t="s">
        <v>37</v>
      </c>
      <c r="C146" s="6" t="s">
        <v>78</v>
      </c>
      <c r="D146" s="6" t="s">
        <v>159</v>
      </c>
      <c r="E146" s="6" t="s">
        <v>35</v>
      </c>
      <c r="F146" s="6">
        <v>8</v>
      </c>
      <c r="G146" s="6" t="s">
        <v>28</v>
      </c>
    </row>
    <row r="147" spans="1:7" x14ac:dyDescent="0.55000000000000004">
      <c r="A147" s="8">
        <v>46067.806979166664</v>
      </c>
      <c r="B147" s="6" t="s">
        <v>39</v>
      </c>
      <c r="C147" s="6" t="s">
        <v>78</v>
      </c>
      <c r="D147" s="6" t="s">
        <v>156</v>
      </c>
      <c r="E147" s="6" t="s">
        <v>35</v>
      </c>
      <c r="F147" s="6">
        <v>8</v>
      </c>
      <c r="G147" s="6" t="s">
        <v>28</v>
      </c>
    </row>
    <row r="148" spans="1:7" x14ac:dyDescent="0.55000000000000004">
      <c r="A148" s="8">
        <v>46067.811226851853</v>
      </c>
      <c r="B148" s="6" t="s">
        <v>32</v>
      </c>
      <c r="C148" s="6" t="s">
        <v>33</v>
      </c>
      <c r="D148" s="6" t="s">
        <v>64</v>
      </c>
      <c r="E148" s="6" t="s">
        <v>35</v>
      </c>
      <c r="F148" s="6">
        <v>11</v>
      </c>
      <c r="G148" s="6" t="s">
        <v>28</v>
      </c>
    </row>
    <row r="149" spans="1:7" x14ac:dyDescent="0.55000000000000004">
      <c r="A149" s="8">
        <v>46067.811284722222</v>
      </c>
      <c r="B149" s="6" t="s">
        <v>32</v>
      </c>
      <c r="C149" s="6" t="s">
        <v>33</v>
      </c>
      <c r="D149" s="6" t="s">
        <v>67</v>
      </c>
      <c r="E149" s="6" t="s">
        <v>35</v>
      </c>
      <c r="F149" s="6">
        <v>24</v>
      </c>
      <c r="G149" s="6" t="s">
        <v>28</v>
      </c>
    </row>
    <row r="150" spans="1:7" x14ac:dyDescent="0.55000000000000004">
      <c r="A150" s="8">
        <v>46067.811307870368</v>
      </c>
      <c r="B150" s="6" t="s">
        <v>37</v>
      </c>
      <c r="C150" s="6" t="s">
        <v>78</v>
      </c>
      <c r="D150" s="6" t="s">
        <v>159</v>
      </c>
      <c r="E150" s="6" t="s">
        <v>35</v>
      </c>
      <c r="F150" s="6">
        <v>8</v>
      </c>
      <c r="G150" s="6" t="s">
        <v>28</v>
      </c>
    </row>
    <row r="151" spans="1:7" x14ac:dyDescent="0.55000000000000004">
      <c r="A151" s="8">
        <v>46067.811331018522</v>
      </c>
      <c r="B151" s="6" t="s">
        <v>39</v>
      </c>
      <c r="C151" s="6" t="s">
        <v>78</v>
      </c>
      <c r="D151" s="6" t="s">
        <v>156</v>
      </c>
      <c r="E151" s="6" t="s">
        <v>35</v>
      </c>
      <c r="F151" s="6">
        <v>8</v>
      </c>
      <c r="G151" s="6" t="s">
        <v>28</v>
      </c>
    </row>
    <row r="152" spans="1:7" x14ac:dyDescent="0.55000000000000004">
      <c r="A152" s="8">
        <v>46067.819733796299</v>
      </c>
      <c r="B152" s="6" t="s">
        <v>32</v>
      </c>
      <c r="C152" s="6" t="s">
        <v>33</v>
      </c>
      <c r="D152" s="6" t="s">
        <v>64</v>
      </c>
      <c r="E152" s="6" t="s">
        <v>35</v>
      </c>
      <c r="F152" s="6">
        <v>11</v>
      </c>
      <c r="G152" s="6" t="s">
        <v>28</v>
      </c>
    </row>
    <row r="153" spans="1:7" x14ac:dyDescent="0.55000000000000004">
      <c r="A153" s="8">
        <v>46067.819826388892</v>
      </c>
      <c r="B153" s="6" t="s">
        <v>32</v>
      </c>
      <c r="C153" s="6" t="s">
        <v>33</v>
      </c>
      <c r="D153" s="6" t="s">
        <v>67</v>
      </c>
      <c r="E153" s="6" t="s">
        <v>35</v>
      </c>
      <c r="F153" s="6">
        <v>24</v>
      </c>
      <c r="G153" s="6" t="s">
        <v>28</v>
      </c>
    </row>
    <row r="154" spans="1:7" x14ac:dyDescent="0.55000000000000004">
      <c r="A154" s="8">
        <v>46067.819976851853</v>
      </c>
      <c r="B154" s="6" t="s">
        <v>37</v>
      </c>
      <c r="C154" s="6" t="s">
        <v>78</v>
      </c>
      <c r="D154" s="6" t="s">
        <v>159</v>
      </c>
      <c r="E154" s="6" t="s">
        <v>35</v>
      </c>
      <c r="F154" s="6">
        <v>8</v>
      </c>
      <c r="G154" s="6" t="s">
        <v>28</v>
      </c>
    </row>
    <row r="155" spans="1:7" x14ac:dyDescent="0.55000000000000004">
      <c r="A155" s="8">
        <v>46067.82</v>
      </c>
      <c r="B155" s="6" t="s">
        <v>39</v>
      </c>
      <c r="C155" s="6" t="s">
        <v>78</v>
      </c>
      <c r="D155" s="6" t="s">
        <v>156</v>
      </c>
      <c r="E155" s="6" t="s">
        <v>35</v>
      </c>
      <c r="F155" s="6">
        <v>8</v>
      </c>
      <c r="G155" s="6" t="s">
        <v>28</v>
      </c>
    </row>
    <row r="156" spans="1:7" x14ac:dyDescent="0.55000000000000004">
      <c r="A156" s="8">
        <v>46069.570636574077</v>
      </c>
      <c r="B156" s="6" t="s">
        <v>32</v>
      </c>
      <c r="C156" s="6" t="s">
        <v>33</v>
      </c>
      <c r="D156" s="6" t="s">
        <v>64</v>
      </c>
      <c r="E156" s="6" t="s">
        <v>35</v>
      </c>
      <c r="F156" s="6">
        <v>11</v>
      </c>
      <c r="G156" s="6" t="s">
        <v>28</v>
      </c>
    </row>
    <row r="157" spans="1:7" x14ac:dyDescent="0.55000000000000004">
      <c r="A157" s="8">
        <v>46069.570717592593</v>
      </c>
      <c r="B157" s="6" t="s">
        <v>32</v>
      </c>
      <c r="C157" s="6" t="s">
        <v>33</v>
      </c>
      <c r="D157" s="6" t="s">
        <v>67</v>
      </c>
      <c r="E157" s="6" t="s">
        <v>35</v>
      </c>
      <c r="F157" s="6">
        <v>32</v>
      </c>
      <c r="G157" s="6" t="s">
        <v>28</v>
      </c>
    </row>
    <row r="158" spans="1:7" x14ac:dyDescent="0.55000000000000004">
      <c r="A158" s="8">
        <v>46069.570775462962</v>
      </c>
      <c r="B158" s="6" t="s">
        <v>37</v>
      </c>
      <c r="C158" s="6" t="s">
        <v>78</v>
      </c>
      <c r="D158" s="6" t="s">
        <v>180</v>
      </c>
      <c r="E158" s="6" t="s">
        <v>35</v>
      </c>
      <c r="F158" s="6">
        <v>12</v>
      </c>
      <c r="G158" s="6" t="s">
        <v>28</v>
      </c>
    </row>
    <row r="159" spans="1:7" x14ac:dyDescent="0.55000000000000004">
      <c r="A159" s="8">
        <v>46069.571053240739</v>
      </c>
      <c r="B159" s="6" t="s">
        <v>39</v>
      </c>
      <c r="C159" s="6" t="s">
        <v>78</v>
      </c>
      <c r="D159" s="6" t="s">
        <v>156</v>
      </c>
      <c r="E159" s="6" t="s">
        <v>35</v>
      </c>
      <c r="F159" s="6">
        <v>8</v>
      </c>
      <c r="G159" s="6" t="s">
        <v>28</v>
      </c>
    </row>
    <row r="160" spans="1:7" x14ac:dyDescent="0.55000000000000004">
      <c r="A160" s="8">
        <v>46069.571192129632</v>
      </c>
      <c r="B160" s="6" t="s">
        <v>39</v>
      </c>
      <c r="C160" s="6" t="s">
        <v>78</v>
      </c>
      <c r="D160" s="6" t="s">
        <v>157</v>
      </c>
      <c r="E160" s="6" t="s">
        <v>35</v>
      </c>
      <c r="F160" s="6">
        <v>8</v>
      </c>
      <c r="G160" s="6" t="s">
        <v>28</v>
      </c>
    </row>
    <row r="161" spans="1:7" x14ac:dyDescent="0.55000000000000004">
      <c r="A161" s="8">
        <v>46069.571608796294</v>
      </c>
      <c r="B161" s="6" t="s">
        <v>37</v>
      </c>
      <c r="C161" s="6" t="s">
        <v>78</v>
      </c>
      <c r="D161" s="6" t="s">
        <v>181</v>
      </c>
      <c r="E161" s="6" t="s">
        <v>35</v>
      </c>
      <c r="F161" s="6">
        <v>12</v>
      </c>
      <c r="G161" s="6" t="s">
        <v>28</v>
      </c>
    </row>
    <row r="162" spans="1:7" x14ac:dyDescent="0.55000000000000004">
      <c r="A162" s="8">
        <v>46069.571689814817</v>
      </c>
      <c r="B162" s="6" t="s">
        <v>39</v>
      </c>
      <c r="C162" s="6" t="s">
        <v>78</v>
      </c>
      <c r="D162" s="6" t="s">
        <v>156</v>
      </c>
      <c r="E162" s="6" t="s">
        <v>35</v>
      </c>
      <c r="F162" s="6">
        <v>16</v>
      </c>
      <c r="G162" s="6" t="s">
        <v>28</v>
      </c>
    </row>
    <row r="163" spans="1:7" x14ac:dyDescent="0.55000000000000004">
      <c r="A163" s="8">
        <v>46069.572453703702</v>
      </c>
      <c r="B163" s="6" t="s">
        <v>32</v>
      </c>
      <c r="C163" s="6" t="s">
        <v>33</v>
      </c>
      <c r="D163" s="6" t="s">
        <v>67</v>
      </c>
      <c r="E163" s="6" t="s">
        <v>35</v>
      </c>
      <c r="F163" s="6">
        <v>32</v>
      </c>
      <c r="G163" s="6" t="s">
        <v>28</v>
      </c>
    </row>
    <row r="164" spans="1:7" x14ac:dyDescent="0.55000000000000004">
      <c r="A164" s="8">
        <v>46069.572465277779</v>
      </c>
      <c r="B164" s="6" t="s">
        <v>37</v>
      </c>
      <c r="C164" s="6" t="s">
        <v>78</v>
      </c>
      <c r="D164" s="6" t="s">
        <v>181</v>
      </c>
      <c r="E164" s="6" t="s">
        <v>35</v>
      </c>
      <c r="F164" s="6">
        <v>12</v>
      </c>
      <c r="G164" s="6" t="s">
        <v>28</v>
      </c>
    </row>
    <row r="165" spans="1:7" x14ac:dyDescent="0.55000000000000004">
      <c r="A165" s="8">
        <v>46069.572592592594</v>
      </c>
      <c r="B165" s="6" t="s">
        <v>39</v>
      </c>
      <c r="C165" s="6" t="s">
        <v>78</v>
      </c>
      <c r="D165" s="6" t="s">
        <v>156</v>
      </c>
      <c r="E165" s="6" t="s">
        <v>35</v>
      </c>
      <c r="F165" s="6">
        <v>16</v>
      </c>
      <c r="G165" s="6" t="s">
        <v>28</v>
      </c>
    </row>
    <row r="166" spans="1:7" x14ac:dyDescent="0.55000000000000004">
      <c r="A166" s="8">
        <v>46069.572835648149</v>
      </c>
      <c r="B166" s="6" t="s">
        <v>39</v>
      </c>
      <c r="C166" s="6" t="s">
        <v>78</v>
      </c>
      <c r="D166" s="6" t="s">
        <v>157</v>
      </c>
      <c r="E166" s="6" t="s">
        <v>35</v>
      </c>
      <c r="F166" s="6">
        <v>10</v>
      </c>
      <c r="G166" s="6" t="s">
        <v>28</v>
      </c>
    </row>
    <row r="167" spans="1:7" x14ac:dyDescent="0.55000000000000004">
      <c r="A167" s="8">
        <v>46069.574421296296</v>
      </c>
      <c r="B167" s="6" t="s">
        <v>32</v>
      </c>
      <c r="C167" s="6" t="s">
        <v>33</v>
      </c>
      <c r="D167" s="6" t="s">
        <v>64</v>
      </c>
      <c r="E167" s="6" t="s">
        <v>35</v>
      </c>
      <c r="F167" s="6">
        <v>11</v>
      </c>
      <c r="G167" s="6" t="s">
        <v>28</v>
      </c>
    </row>
    <row r="168" spans="1:7" x14ac:dyDescent="0.55000000000000004">
      <c r="A168" s="8">
        <v>46069.574479166666</v>
      </c>
      <c r="B168" s="6" t="s">
        <v>32</v>
      </c>
      <c r="C168" s="6" t="s">
        <v>33</v>
      </c>
      <c r="D168" s="6" t="s">
        <v>67</v>
      </c>
      <c r="E168" s="6" t="s">
        <v>35</v>
      </c>
      <c r="F168" s="6">
        <v>32</v>
      </c>
      <c r="G168" s="6" t="s">
        <v>28</v>
      </c>
    </row>
    <row r="169" spans="1:7" x14ac:dyDescent="0.55000000000000004">
      <c r="A169" s="8">
        <v>46069.574525462966</v>
      </c>
      <c r="B169" s="6" t="s">
        <v>37</v>
      </c>
      <c r="C169" s="6" t="s">
        <v>78</v>
      </c>
      <c r="D169" s="6" t="s">
        <v>181</v>
      </c>
      <c r="E169" s="6" t="s">
        <v>35</v>
      </c>
      <c r="F169" s="6">
        <v>12</v>
      </c>
      <c r="G169" s="6" t="s">
        <v>28</v>
      </c>
    </row>
    <row r="170" spans="1:7" x14ac:dyDescent="0.55000000000000004">
      <c r="A170" s="8">
        <v>46069.574548611112</v>
      </c>
      <c r="B170" s="6" t="s">
        <v>39</v>
      </c>
      <c r="C170" s="6" t="s">
        <v>78</v>
      </c>
      <c r="D170" s="6" t="s">
        <v>157</v>
      </c>
      <c r="E170" s="6" t="s">
        <v>35</v>
      </c>
      <c r="F170" s="6">
        <v>10</v>
      </c>
      <c r="G170" s="6" t="s">
        <v>28</v>
      </c>
    </row>
    <row r="171" spans="1:7" x14ac:dyDescent="0.55000000000000004">
      <c r="A171" s="8">
        <v>46069.661365740743</v>
      </c>
      <c r="B171" s="6" t="s">
        <v>39</v>
      </c>
      <c r="C171" s="6" t="s">
        <v>78</v>
      </c>
      <c r="D171" s="6" t="s">
        <v>156</v>
      </c>
      <c r="E171" s="6" t="s">
        <v>35</v>
      </c>
      <c r="F171" s="6">
        <v>16</v>
      </c>
      <c r="G171" s="6" t="s">
        <v>28</v>
      </c>
    </row>
    <row r="172" spans="1:7" x14ac:dyDescent="0.55000000000000004">
      <c r="A172" s="8">
        <v>46069.662557870368</v>
      </c>
      <c r="B172" s="6" t="s">
        <v>37</v>
      </c>
      <c r="C172" s="6" t="s">
        <v>183</v>
      </c>
      <c r="D172" s="6" t="s">
        <v>181</v>
      </c>
      <c r="E172" s="6" t="s">
        <v>35</v>
      </c>
      <c r="F172" s="6">
        <v>12</v>
      </c>
      <c r="G172" s="6" t="s">
        <v>28</v>
      </c>
    </row>
    <row r="173" spans="1:7" x14ac:dyDescent="0.55000000000000004">
      <c r="A173" s="8">
        <v>46069.662604166668</v>
      </c>
      <c r="B173" s="6" t="s">
        <v>39</v>
      </c>
      <c r="C173" s="6" t="s">
        <v>183</v>
      </c>
      <c r="D173" s="6" t="s">
        <v>185</v>
      </c>
      <c r="E173" s="6" t="s">
        <v>35</v>
      </c>
      <c r="F173" s="6">
        <v>16</v>
      </c>
      <c r="G173" s="6" t="s">
        <v>28</v>
      </c>
    </row>
    <row r="174" spans="1:7" x14ac:dyDescent="0.55000000000000004">
      <c r="A174" s="8">
        <v>46069.665972222225</v>
      </c>
      <c r="B174" s="6" t="s">
        <v>39</v>
      </c>
      <c r="C174" s="6" t="s">
        <v>183</v>
      </c>
      <c r="D174" s="6" t="s">
        <v>187</v>
      </c>
      <c r="E174" s="6" t="s">
        <v>35</v>
      </c>
      <c r="F174" s="6">
        <v>2</v>
      </c>
      <c r="G174" s="6" t="s">
        <v>28</v>
      </c>
    </row>
    <row r="175" spans="1:7" x14ac:dyDescent="0.55000000000000004">
      <c r="A175" s="9">
        <v>46070.596134259256</v>
      </c>
      <c r="B175" s="10" t="s">
        <v>189</v>
      </c>
      <c r="C175" s="10" t="s">
        <v>33</v>
      </c>
      <c r="D175" s="10" t="s">
        <v>190</v>
      </c>
      <c r="E175" s="10" t="s">
        <v>35</v>
      </c>
      <c r="F175" s="10">
        <v>0</v>
      </c>
      <c r="G175" s="10" t="s">
        <v>28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E82B8-370E-46C2-9F91-370D5E302330}">
  <sheetPr codeName="Sheet21"/>
  <dimension ref="A1:F13"/>
  <sheetViews>
    <sheetView workbookViewId="0">
      <pane ySplit="1" topLeftCell="A2" activePane="bottomLeft" state="frozen"/>
      <selection pane="bottomLeft" activeCell="A4" sqref="A4"/>
    </sheetView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4.68359375" bestFit="1" customWidth="1"/>
    <col min="4" max="5" width="12.9453125" bestFit="1" customWidth="1"/>
    <col min="6" max="6" width="14.3671875" bestFit="1" customWidth="1"/>
    <col min="7" max="7" width="6.68359375" bestFit="1" customWidth="1"/>
  </cols>
  <sheetData>
    <row r="1" spans="1:6" x14ac:dyDescent="0.55000000000000004">
      <c r="A1" s="1" t="s">
        <v>6</v>
      </c>
      <c r="B1" s="1" t="s">
        <v>5</v>
      </c>
      <c r="C1" s="1" t="s">
        <v>0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 t="b">
        <v>1</v>
      </c>
      <c r="B2" s="2">
        <v>0</v>
      </c>
      <c r="C2">
        <v>1001</v>
      </c>
      <c r="D2" s="2">
        <v>150</v>
      </c>
      <c r="E2" s="2">
        <v>150</v>
      </c>
      <c r="F2" t="s">
        <v>117</v>
      </c>
    </row>
    <row r="3" spans="1:6" x14ac:dyDescent="0.55000000000000004">
      <c r="A3" t="b">
        <v>1</v>
      </c>
      <c r="B3" s="2">
        <v>0</v>
      </c>
      <c r="C3">
        <v>1002</v>
      </c>
      <c r="D3" s="2">
        <v>225.5</v>
      </c>
      <c r="E3" s="2">
        <v>225.5</v>
      </c>
      <c r="F3" t="s">
        <v>119</v>
      </c>
    </row>
    <row r="4" spans="1:6" s="6" customFormat="1" x14ac:dyDescent="0.55000000000000004">
      <c r="A4" s="6" t="b">
        <v>0</v>
      </c>
      <c r="B4" s="7">
        <v>-0.25</v>
      </c>
      <c r="C4" s="6">
        <v>1004</v>
      </c>
      <c r="D4" s="7">
        <v>175</v>
      </c>
      <c r="E4" s="7">
        <v>175.25</v>
      </c>
      <c r="F4" s="6" t="s">
        <v>121</v>
      </c>
    </row>
    <row r="5" spans="1:6" x14ac:dyDescent="0.55000000000000004">
      <c r="A5" t="b">
        <v>1</v>
      </c>
      <c r="B5" s="2">
        <v>0</v>
      </c>
      <c r="C5">
        <v>1006</v>
      </c>
      <c r="D5" s="2">
        <v>300</v>
      </c>
      <c r="E5" s="2">
        <v>300</v>
      </c>
      <c r="F5" t="s">
        <v>123</v>
      </c>
    </row>
    <row r="6" spans="1:6" s="6" customFormat="1" x14ac:dyDescent="0.55000000000000004">
      <c r="A6" s="6" t="b">
        <v>0</v>
      </c>
      <c r="B6" s="7">
        <v>0.25</v>
      </c>
      <c r="C6" s="6">
        <v>1007</v>
      </c>
      <c r="D6" s="7">
        <v>425.75</v>
      </c>
      <c r="E6" s="7">
        <v>425.5</v>
      </c>
      <c r="F6" s="6" t="s">
        <v>124</v>
      </c>
    </row>
    <row r="7" spans="1:6" x14ac:dyDescent="0.55000000000000004">
      <c r="A7" t="b">
        <v>1</v>
      </c>
      <c r="B7" s="2">
        <v>0</v>
      </c>
      <c r="C7">
        <v>1010</v>
      </c>
      <c r="D7" s="2">
        <v>210</v>
      </c>
      <c r="E7" s="2">
        <v>210</v>
      </c>
      <c r="F7" t="s">
        <v>126</v>
      </c>
    </row>
    <row r="8" spans="1:6" s="6" customFormat="1" x14ac:dyDescent="0.55000000000000004">
      <c r="A8" s="6" t="b">
        <v>0</v>
      </c>
      <c r="B8" s="7">
        <v>-4.5</v>
      </c>
      <c r="C8" s="6">
        <v>1011</v>
      </c>
      <c r="D8" s="7">
        <v>275.5</v>
      </c>
      <c r="E8" s="7">
        <v>280</v>
      </c>
      <c r="F8" s="6" t="s">
        <v>127</v>
      </c>
    </row>
    <row r="9" spans="1:6" s="6" customFormat="1" x14ac:dyDescent="0.55000000000000004">
      <c r="A9" s="6" t="b">
        <v>0</v>
      </c>
      <c r="B9" s="7">
        <v>-195</v>
      </c>
      <c r="C9" s="6">
        <v>1013</v>
      </c>
      <c r="D9" s="7">
        <v>0</v>
      </c>
      <c r="E9" s="7">
        <v>195</v>
      </c>
    </row>
    <row r="10" spans="1:6" x14ac:dyDescent="0.55000000000000004">
      <c r="A10" t="b">
        <v>1</v>
      </c>
      <c r="B10" s="2">
        <v>-0.03</v>
      </c>
      <c r="C10">
        <v>1014</v>
      </c>
      <c r="D10" s="2">
        <v>0</v>
      </c>
      <c r="E10" s="2">
        <v>0.03</v>
      </c>
    </row>
    <row r="11" spans="1:6" x14ac:dyDescent="0.55000000000000004">
      <c r="A11" t="b">
        <v>1</v>
      </c>
      <c r="B11" s="2">
        <v>0.03</v>
      </c>
      <c r="C11">
        <v>1015</v>
      </c>
      <c r="D11" s="2">
        <v>0</v>
      </c>
      <c r="E11" s="2">
        <v>-0.03</v>
      </c>
    </row>
    <row r="12" spans="1:6" x14ac:dyDescent="0.55000000000000004">
      <c r="A12" t="b">
        <v>1</v>
      </c>
      <c r="B12" s="2">
        <v>-1.9999999999999997E-2</v>
      </c>
      <c r="C12">
        <v>1016</v>
      </c>
      <c r="D12" s="2">
        <v>0</v>
      </c>
      <c r="E12" s="2">
        <v>1.9999999999999997E-2</v>
      </c>
    </row>
    <row r="13" spans="1:6" x14ac:dyDescent="0.55000000000000004">
      <c r="A13" t="b">
        <v>1</v>
      </c>
      <c r="B13" s="2">
        <v>1.9999999999999997E-2</v>
      </c>
      <c r="C13">
        <v>1017</v>
      </c>
      <c r="D13" s="2">
        <v>0</v>
      </c>
      <c r="E13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92C81-33B8-4A75-96E0-AEF0B7A99453}">
  <sheetPr codeName="Sheet22"/>
  <dimension ref="A1:F17"/>
  <sheetViews>
    <sheetView workbookViewId="0">
      <pane ySplit="1" topLeftCell="A2" activePane="bottomLeft" state="frozen"/>
      <selection pane="bottomLeft" activeCell="A2" sqref="A2:XFD2"/>
    </sheetView>
  </sheetViews>
  <sheetFormatPr defaultRowHeight="14.4" x14ac:dyDescent="0.55000000000000004"/>
  <cols>
    <col min="1" max="1" width="4.68359375" bestFit="1" customWidth="1"/>
    <col min="2" max="2" width="6.68359375" bestFit="1" customWidth="1"/>
    <col min="3" max="3" width="9.15625" bestFit="1" customWidth="1"/>
    <col min="4" max="5" width="12.9453125" bestFit="1" customWidth="1"/>
    <col min="6" max="6" width="14.26171875" bestFit="1" customWidth="1"/>
  </cols>
  <sheetData>
    <row r="1" spans="1:6" x14ac:dyDescent="0.55000000000000004">
      <c r="A1" s="1" t="s">
        <v>0</v>
      </c>
      <c r="B1" s="1" t="s">
        <v>11</v>
      </c>
      <c r="C1" s="1" t="s">
        <v>13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>
        <v>1001</v>
      </c>
      <c r="B2" t="s">
        <v>66</v>
      </c>
      <c r="C2">
        <v>100</v>
      </c>
      <c r="D2" s="2">
        <v>150</v>
      </c>
      <c r="E2" s="2">
        <v>150</v>
      </c>
      <c r="F2" t="s">
        <v>117</v>
      </c>
    </row>
    <row r="3" spans="1:6" x14ac:dyDescent="0.55000000000000004">
      <c r="A3">
        <v>1001</v>
      </c>
      <c r="B3" t="s">
        <v>66</v>
      </c>
      <c r="C3">
        <v>50</v>
      </c>
      <c r="D3" s="2">
        <v>150</v>
      </c>
      <c r="E3" s="2">
        <v>150</v>
      </c>
      <c r="F3" t="s">
        <v>117</v>
      </c>
    </row>
    <row r="4" spans="1:6" x14ac:dyDescent="0.55000000000000004">
      <c r="A4">
        <v>1002</v>
      </c>
      <c r="B4" t="s">
        <v>66</v>
      </c>
      <c r="C4">
        <v>150.5</v>
      </c>
      <c r="D4" s="2">
        <v>225.5</v>
      </c>
      <c r="E4" s="2">
        <v>225.5</v>
      </c>
      <c r="F4" t="s">
        <v>119</v>
      </c>
    </row>
    <row r="5" spans="1:6" x14ac:dyDescent="0.55000000000000004">
      <c r="A5">
        <v>1002</v>
      </c>
      <c r="B5" t="s">
        <v>66</v>
      </c>
      <c r="C5">
        <v>75</v>
      </c>
      <c r="D5" s="2">
        <v>225.5</v>
      </c>
      <c r="E5" s="2">
        <v>225.5</v>
      </c>
      <c r="F5" t="s">
        <v>119</v>
      </c>
    </row>
    <row r="6" spans="1:6" x14ac:dyDescent="0.55000000000000004">
      <c r="A6">
        <v>1006</v>
      </c>
      <c r="B6" t="s">
        <v>66</v>
      </c>
      <c r="C6">
        <v>200</v>
      </c>
      <c r="D6" s="2">
        <v>300</v>
      </c>
      <c r="E6" s="2">
        <v>300</v>
      </c>
      <c r="F6" t="s">
        <v>123</v>
      </c>
    </row>
    <row r="7" spans="1:6" x14ac:dyDescent="0.55000000000000004">
      <c r="A7">
        <v>1006</v>
      </c>
      <c r="B7" t="s">
        <v>66</v>
      </c>
      <c r="C7">
        <v>100</v>
      </c>
      <c r="D7" s="2">
        <v>300</v>
      </c>
      <c r="E7" s="2">
        <v>300</v>
      </c>
      <c r="F7" t="s">
        <v>123</v>
      </c>
    </row>
    <row r="8" spans="1:6" x14ac:dyDescent="0.55000000000000004">
      <c r="A8">
        <v>1010</v>
      </c>
      <c r="B8" t="s">
        <v>66</v>
      </c>
      <c r="C8">
        <v>150</v>
      </c>
      <c r="D8" s="2">
        <v>210</v>
      </c>
      <c r="E8" s="2">
        <v>210</v>
      </c>
      <c r="F8" t="s">
        <v>126</v>
      </c>
    </row>
    <row r="9" spans="1:6" x14ac:dyDescent="0.55000000000000004">
      <c r="A9">
        <v>1010</v>
      </c>
      <c r="B9" t="s">
        <v>66</v>
      </c>
      <c r="C9">
        <v>60</v>
      </c>
      <c r="D9" s="2">
        <v>210</v>
      </c>
      <c r="E9" s="2">
        <v>210</v>
      </c>
      <c r="F9" t="s">
        <v>126</v>
      </c>
    </row>
    <row r="10" spans="1:6" x14ac:dyDescent="0.55000000000000004">
      <c r="A10">
        <v>1014</v>
      </c>
      <c r="B10" t="s">
        <v>66</v>
      </c>
      <c r="C10">
        <v>0.01</v>
      </c>
      <c r="D10" s="2">
        <v>0</v>
      </c>
      <c r="E10" s="2">
        <v>0.03</v>
      </c>
    </row>
    <row r="11" spans="1:6" x14ac:dyDescent="0.55000000000000004">
      <c r="A11">
        <v>1014</v>
      </c>
      <c r="B11" t="s">
        <v>66</v>
      </c>
      <c r="C11">
        <v>0.02</v>
      </c>
      <c r="D11" s="2">
        <v>0</v>
      </c>
      <c r="E11" s="2">
        <v>0.03</v>
      </c>
    </row>
    <row r="12" spans="1:6" x14ac:dyDescent="0.55000000000000004">
      <c r="A12">
        <v>1015</v>
      </c>
      <c r="B12" t="s">
        <v>66</v>
      </c>
      <c r="C12">
        <v>-0.01</v>
      </c>
      <c r="D12" s="2">
        <v>0</v>
      </c>
      <c r="E12" s="2">
        <v>-0.03</v>
      </c>
    </row>
    <row r="13" spans="1:6" x14ac:dyDescent="0.55000000000000004">
      <c r="A13">
        <v>1015</v>
      </c>
      <c r="B13" t="s">
        <v>66</v>
      </c>
      <c r="C13">
        <v>-0.02</v>
      </c>
      <c r="D13" s="2">
        <v>0</v>
      </c>
      <c r="E13" s="2">
        <v>-0.03</v>
      </c>
    </row>
    <row r="14" spans="1:6" x14ac:dyDescent="0.55000000000000004">
      <c r="A14">
        <v>1016</v>
      </c>
      <c r="B14" t="s">
        <v>66</v>
      </c>
      <c r="C14">
        <v>0.03</v>
      </c>
      <c r="D14" s="2">
        <v>0</v>
      </c>
      <c r="E14" s="2">
        <v>1.9999999999999997E-2</v>
      </c>
    </row>
    <row r="15" spans="1:6" x14ac:dyDescent="0.55000000000000004">
      <c r="A15">
        <v>1016</v>
      </c>
      <c r="B15" t="s">
        <v>66</v>
      </c>
      <c r="C15">
        <v>-0.01</v>
      </c>
      <c r="D15" s="2">
        <v>0</v>
      </c>
      <c r="E15" s="2">
        <v>1.9999999999999997E-2</v>
      </c>
    </row>
    <row r="16" spans="1:6" x14ac:dyDescent="0.55000000000000004">
      <c r="A16">
        <v>1017</v>
      </c>
      <c r="B16" t="s">
        <v>66</v>
      </c>
      <c r="C16">
        <v>0.01</v>
      </c>
      <c r="D16" s="2">
        <v>0</v>
      </c>
      <c r="E16" s="2">
        <v>-1.9999999999999997E-2</v>
      </c>
    </row>
    <row r="17" spans="1:5" x14ac:dyDescent="0.55000000000000004">
      <c r="A17">
        <v>1017</v>
      </c>
      <c r="B17" t="s">
        <v>66</v>
      </c>
      <c r="C17">
        <v>-0.03</v>
      </c>
      <c r="D17" s="2">
        <v>0</v>
      </c>
      <c r="E17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90413-4E55-44AD-9174-FB265840C288}">
  <sheetPr codeName="Sheet23"/>
  <dimension ref="A1:E5"/>
  <sheetViews>
    <sheetView workbookViewId="0">
      <pane ySplit="1" topLeftCell="A2" activePane="bottomLeft" state="frozen"/>
      <selection activeCell="F10" sqref="F10"/>
      <selection pane="bottomLeft" activeCell="B4" sqref="B4"/>
    </sheetView>
  </sheetViews>
  <sheetFormatPr defaultRowHeight="14.4" x14ac:dyDescent="0.55000000000000004"/>
  <cols>
    <col min="1" max="1" width="11.3125" bestFit="1" customWidth="1"/>
    <col min="2" max="2" width="4.68359375" bestFit="1" customWidth="1"/>
    <col min="3" max="4" width="12.9453125" bestFit="1" customWidth="1"/>
    <col min="5" max="5" width="14.3671875" bestFit="1" customWidth="1"/>
    <col min="6" max="6" width="6.68359375" bestFit="1" customWidth="1"/>
  </cols>
  <sheetData>
    <row r="1" spans="1:5" x14ac:dyDescent="0.55000000000000004">
      <c r="A1" s="1" t="s">
        <v>5</v>
      </c>
      <c r="B1" s="1" t="s">
        <v>0</v>
      </c>
      <c r="C1" s="1" t="s">
        <v>3</v>
      </c>
      <c r="D1" s="1" t="s">
        <v>4</v>
      </c>
      <c r="E1" s="1" t="s">
        <v>107</v>
      </c>
    </row>
    <row r="2" spans="1:5" s="6" customFormat="1" x14ac:dyDescent="0.55000000000000004">
      <c r="A2" s="7">
        <v>-0.25</v>
      </c>
      <c r="B2" s="6">
        <v>1004</v>
      </c>
      <c r="C2" s="7">
        <v>175</v>
      </c>
      <c r="D2" s="7">
        <v>175.25</v>
      </c>
      <c r="E2" s="6" t="s">
        <v>121</v>
      </c>
    </row>
    <row r="3" spans="1:5" s="6" customFormat="1" x14ac:dyDescent="0.55000000000000004">
      <c r="A3" s="7">
        <v>0.25</v>
      </c>
      <c r="B3" s="6">
        <v>1007</v>
      </c>
      <c r="C3" s="7">
        <v>425.75</v>
      </c>
      <c r="D3" s="7">
        <v>425.5</v>
      </c>
      <c r="E3" s="6" t="s">
        <v>124</v>
      </c>
    </row>
    <row r="4" spans="1:5" s="6" customFormat="1" x14ac:dyDescent="0.55000000000000004">
      <c r="A4" s="7">
        <v>-4.5</v>
      </c>
      <c r="B4" s="6">
        <v>1011</v>
      </c>
      <c r="C4" s="7">
        <v>275.5</v>
      </c>
      <c r="D4" s="7">
        <v>280</v>
      </c>
      <c r="E4" s="6" t="s">
        <v>127</v>
      </c>
    </row>
    <row r="5" spans="1:5" s="6" customFormat="1" x14ac:dyDescent="0.55000000000000004">
      <c r="A5" s="7">
        <v>-195</v>
      </c>
      <c r="B5" s="6">
        <v>1013</v>
      </c>
      <c r="C5" s="7">
        <v>0</v>
      </c>
      <c r="D5" s="7">
        <v>195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26394-5244-47DE-AB39-FA1BAC04A837}">
  <sheetPr codeName="Sheet24"/>
  <dimension ref="A1:H17"/>
  <sheetViews>
    <sheetView tabSelected="1" workbookViewId="0">
      <pane ySplit="1" topLeftCell="A2" activePane="bottomLeft" state="frozen"/>
      <selection pane="bottomLeft" activeCell="J5" sqref="J5"/>
    </sheetView>
  </sheetViews>
  <sheetFormatPr defaultRowHeight="14.4" x14ac:dyDescent="0.55000000000000004"/>
  <cols>
    <col min="1" max="1" width="11.578125" bestFit="1" customWidth="1"/>
    <col min="2" max="2" width="14.62890625" bestFit="1" customWidth="1"/>
    <col min="3" max="3" width="16.47265625" bestFit="1" customWidth="1"/>
    <col min="4" max="4" width="9.15625" bestFit="1" customWidth="1"/>
    <col min="5" max="5" width="10.15625" bestFit="1" customWidth="1"/>
    <col min="6" max="6" width="15.89453125" bestFit="1" customWidth="1"/>
    <col min="7" max="7" width="12.41796875" bestFit="1" customWidth="1"/>
    <col min="8" max="9" width="13.68359375" bestFit="1" customWidth="1"/>
  </cols>
  <sheetData>
    <row r="1" spans="1:8" ht="38.1" customHeight="1" x14ac:dyDescent="0.55000000000000004">
      <c r="A1" t="s">
        <v>104</v>
      </c>
      <c r="B1" t="s">
        <v>106</v>
      </c>
      <c r="C1" t="s">
        <v>108</v>
      </c>
      <c r="D1" t="s">
        <v>13</v>
      </c>
      <c r="E1" t="s">
        <v>109</v>
      </c>
      <c r="F1" t="s">
        <v>112</v>
      </c>
      <c r="G1" t="s">
        <v>113</v>
      </c>
      <c r="H1" t="s">
        <v>116</v>
      </c>
    </row>
    <row r="2" spans="1:8" x14ac:dyDescent="0.55000000000000004">
      <c r="A2">
        <v>1001</v>
      </c>
      <c r="B2" t="s">
        <v>117</v>
      </c>
      <c r="C2" t="s">
        <v>66</v>
      </c>
      <c r="D2">
        <v>100</v>
      </c>
      <c r="E2" t="s">
        <v>111</v>
      </c>
      <c r="F2" s="5">
        <v>46069</v>
      </c>
      <c r="G2">
        <f>Table4[[#This Row],[Amount]]*0.98</f>
        <v>98</v>
      </c>
      <c r="H2">
        <f t="shared" ref="H2:H17" si="0">20260216</f>
        <v>20260216</v>
      </c>
    </row>
    <row r="3" spans="1:8" x14ac:dyDescent="0.55000000000000004">
      <c r="A3">
        <v>1001</v>
      </c>
      <c r="B3" t="s">
        <v>117</v>
      </c>
      <c r="C3" t="s">
        <v>66</v>
      </c>
      <c r="D3">
        <v>50</v>
      </c>
      <c r="E3" t="s">
        <v>111</v>
      </c>
      <c r="F3" s="5">
        <v>46069</v>
      </c>
      <c r="G3">
        <f>Table4[[#This Row],[Amount]]*0.98</f>
        <v>49</v>
      </c>
      <c r="H3">
        <f t="shared" si="0"/>
        <v>20260216</v>
      </c>
    </row>
    <row r="4" spans="1:8" x14ac:dyDescent="0.55000000000000004">
      <c r="A4">
        <v>1002</v>
      </c>
      <c r="B4" t="s">
        <v>119</v>
      </c>
      <c r="C4" t="s">
        <v>66</v>
      </c>
      <c r="D4">
        <v>150.5</v>
      </c>
      <c r="E4" t="s">
        <v>111</v>
      </c>
      <c r="F4" s="5">
        <v>46069</v>
      </c>
      <c r="G4">
        <f>Table4[[#This Row],[Amount]]*0.98</f>
        <v>147.49</v>
      </c>
      <c r="H4">
        <f t="shared" si="0"/>
        <v>20260216</v>
      </c>
    </row>
    <row r="5" spans="1:8" x14ac:dyDescent="0.55000000000000004">
      <c r="A5">
        <v>1002</v>
      </c>
      <c r="B5" t="s">
        <v>119</v>
      </c>
      <c r="C5" t="s">
        <v>66</v>
      </c>
      <c r="D5">
        <v>75</v>
      </c>
      <c r="E5" t="s">
        <v>111</v>
      </c>
      <c r="F5" s="5">
        <v>46069</v>
      </c>
      <c r="G5">
        <f>Table4[[#This Row],[Amount]]*0.98</f>
        <v>73.5</v>
      </c>
      <c r="H5">
        <f t="shared" si="0"/>
        <v>20260216</v>
      </c>
    </row>
    <row r="6" spans="1:8" x14ac:dyDescent="0.55000000000000004">
      <c r="A6">
        <v>1006</v>
      </c>
      <c r="B6" t="s">
        <v>123</v>
      </c>
      <c r="C6" t="s">
        <v>66</v>
      </c>
      <c r="D6">
        <v>200</v>
      </c>
      <c r="E6" t="s">
        <v>111</v>
      </c>
      <c r="F6" s="5">
        <v>46069</v>
      </c>
      <c r="G6">
        <f>Table4[[#This Row],[Amount]]*0.98</f>
        <v>196</v>
      </c>
      <c r="H6">
        <f t="shared" si="0"/>
        <v>20260216</v>
      </c>
    </row>
    <row r="7" spans="1:8" x14ac:dyDescent="0.55000000000000004">
      <c r="A7">
        <v>1006</v>
      </c>
      <c r="B7" t="s">
        <v>123</v>
      </c>
      <c r="C7" t="s">
        <v>66</v>
      </c>
      <c r="D7">
        <v>100</v>
      </c>
      <c r="E7" t="s">
        <v>111</v>
      </c>
      <c r="F7" s="5">
        <v>46069</v>
      </c>
      <c r="G7">
        <f>Table4[[#This Row],[Amount]]*0.98</f>
        <v>98</v>
      </c>
      <c r="H7">
        <f t="shared" si="0"/>
        <v>20260216</v>
      </c>
    </row>
    <row r="8" spans="1:8" x14ac:dyDescent="0.55000000000000004">
      <c r="A8">
        <v>1010</v>
      </c>
      <c r="B8" t="s">
        <v>126</v>
      </c>
      <c r="C8" t="s">
        <v>66</v>
      </c>
      <c r="D8">
        <v>150</v>
      </c>
      <c r="E8" t="s">
        <v>111</v>
      </c>
      <c r="F8" s="5">
        <v>46069</v>
      </c>
      <c r="G8">
        <f>Table4[[#This Row],[Amount]]*0.98</f>
        <v>147</v>
      </c>
      <c r="H8">
        <f t="shared" si="0"/>
        <v>20260216</v>
      </c>
    </row>
    <row r="9" spans="1:8" x14ac:dyDescent="0.55000000000000004">
      <c r="A9">
        <v>1010</v>
      </c>
      <c r="B9" t="s">
        <v>126</v>
      </c>
      <c r="C9" t="s">
        <v>66</v>
      </c>
      <c r="D9">
        <v>60</v>
      </c>
      <c r="E9" t="s">
        <v>111</v>
      </c>
      <c r="F9" s="5">
        <v>46069</v>
      </c>
      <c r="G9">
        <f>Table4[[#This Row],[Amount]]*0.98</f>
        <v>58.8</v>
      </c>
      <c r="H9">
        <f t="shared" si="0"/>
        <v>20260216</v>
      </c>
    </row>
    <row r="10" spans="1:8" x14ac:dyDescent="0.55000000000000004">
      <c r="A10">
        <v>1014</v>
      </c>
      <c r="C10" t="s">
        <v>66</v>
      </c>
      <c r="D10">
        <v>0.01</v>
      </c>
      <c r="E10" t="s">
        <v>111</v>
      </c>
      <c r="F10" s="5">
        <v>46069</v>
      </c>
      <c r="G10">
        <f>Table4[[#This Row],[Amount]]*0.98</f>
        <v>9.7999999999999997E-3</v>
      </c>
      <c r="H10">
        <f t="shared" si="0"/>
        <v>20260216</v>
      </c>
    </row>
    <row r="11" spans="1:8" x14ac:dyDescent="0.55000000000000004">
      <c r="A11">
        <v>1014</v>
      </c>
      <c r="C11" t="s">
        <v>66</v>
      </c>
      <c r="D11">
        <v>0.02</v>
      </c>
      <c r="E11" t="s">
        <v>111</v>
      </c>
      <c r="F11" s="5">
        <v>46069</v>
      </c>
      <c r="G11">
        <f>Table4[[#This Row],[Amount]]*0.98</f>
        <v>1.9599999999999999E-2</v>
      </c>
      <c r="H11">
        <f t="shared" si="0"/>
        <v>20260216</v>
      </c>
    </row>
    <row r="12" spans="1:8" x14ac:dyDescent="0.55000000000000004">
      <c r="A12">
        <v>1015</v>
      </c>
      <c r="C12" t="s">
        <v>66</v>
      </c>
      <c r="D12">
        <v>-0.01</v>
      </c>
      <c r="E12" t="s">
        <v>111</v>
      </c>
      <c r="F12" s="5">
        <v>46069</v>
      </c>
      <c r="G12">
        <f>Table4[[#This Row],[Amount]]*0.98</f>
        <v>-9.7999999999999997E-3</v>
      </c>
      <c r="H12">
        <f t="shared" si="0"/>
        <v>20260216</v>
      </c>
    </row>
    <row r="13" spans="1:8" x14ac:dyDescent="0.55000000000000004">
      <c r="A13">
        <v>1015</v>
      </c>
      <c r="C13" t="s">
        <v>66</v>
      </c>
      <c r="D13">
        <v>-0.02</v>
      </c>
      <c r="E13" t="s">
        <v>111</v>
      </c>
      <c r="F13" s="5">
        <v>46069</v>
      </c>
      <c r="G13">
        <f>Table4[[#This Row],[Amount]]*0.98</f>
        <v>-1.9599999999999999E-2</v>
      </c>
      <c r="H13">
        <f t="shared" si="0"/>
        <v>20260216</v>
      </c>
    </row>
    <row r="14" spans="1:8" x14ac:dyDescent="0.55000000000000004">
      <c r="A14">
        <v>1016</v>
      </c>
      <c r="C14" t="s">
        <v>66</v>
      </c>
      <c r="D14">
        <v>0.03</v>
      </c>
      <c r="E14" t="s">
        <v>111</v>
      </c>
      <c r="F14" s="5">
        <v>46069</v>
      </c>
      <c r="G14">
        <f>Table4[[#This Row],[Amount]]*0.98</f>
        <v>2.9399999999999999E-2</v>
      </c>
      <c r="H14">
        <f t="shared" si="0"/>
        <v>20260216</v>
      </c>
    </row>
    <row r="15" spans="1:8" x14ac:dyDescent="0.55000000000000004">
      <c r="A15">
        <v>1016</v>
      </c>
      <c r="C15" t="s">
        <v>66</v>
      </c>
      <c r="D15">
        <v>-0.01</v>
      </c>
      <c r="E15" t="s">
        <v>111</v>
      </c>
      <c r="F15" s="5">
        <v>46069</v>
      </c>
      <c r="G15">
        <f>Table4[[#This Row],[Amount]]*0.98</f>
        <v>-9.7999999999999997E-3</v>
      </c>
      <c r="H15">
        <f t="shared" si="0"/>
        <v>20260216</v>
      </c>
    </row>
    <row r="16" spans="1:8" x14ac:dyDescent="0.55000000000000004">
      <c r="A16">
        <v>1017</v>
      </c>
      <c r="C16" t="s">
        <v>66</v>
      </c>
      <c r="D16">
        <v>0.01</v>
      </c>
      <c r="E16" t="s">
        <v>111</v>
      </c>
      <c r="F16" s="5">
        <v>46069</v>
      </c>
      <c r="G16">
        <f>Table4[[#This Row],[Amount]]*0.98</f>
        <v>9.7999999999999997E-3</v>
      </c>
      <c r="H16">
        <f t="shared" si="0"/>
        <v>20260216</v>
      </c>
    </row>
    <row r="17" spans="1:8" x14ac:dyDescent="0.55000000000000004">
      <c r="A17">
        <v>1017</v>
      </c>
      <c r="C17" t="s">
        <v>66</v>
      </c>
      <c r="D17">
        <v>-0.03</v>
      </c>
      <c r="E17" t="s">
        <v>111</v>
      </c>
      <c r="F17" s="5">
        <v>46069</v>
      </c>
      <c r="G17">
        <f>Table4[[#This Row],[Amount]]*0.98</f>
        <v>-2.9399999999999999E-2</v>
      </c>
      <c r="H17">
        <f t="shared" si="0"/>
        <v>20260216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6" r:id="rId3" name="Button 2">
              <controlPr defaultSize="0" print="0" autoFill="0" autoPict="0" macro="[0]!SaveSheetToFile">
                <anchor moveWithCells="1" sizeWithCells="1">
                  <from>
                    <xdr:col>9</xdr:col>
                    <xdr:colOff>7620</xdr:colOff>
                    <xdr:row>0</xdr:row>
                    <xdr:rowOff>11430</xdr:rowOff>
                  </from>
                  <to>
                    <xdr:col>9</xdr:col>
                    <xdr:colOff>617220</xdr:colOff>
                    <xdr:row>0</xdr:row>
                    <xdr:rowOff>293370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C14B5-C902-487A-8258-FE15FE190FDB}">
  <sheetPr codeName="Sheet4"/>
  <dimension ref="A1:F13"/>
  <sheetViews>
    <sheetView workbookViewId="0"/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4.68359375" bestFit="1" customWidth="1"/>
    <col min="4" max="5" width="12.9453125" bestFit="1" customWidth="1"/>
    <col min="6" max="6" width="14.3671875" bestFit="1" customWidth="1"/>
  </cols>
  <sheetData>
    <row r="1" spans="1:6" x14ac:dyDescent="0.55000000000000004">
      <c r="A1" s="1" t="s">
        <v>6</v>
      </c>
      <c r="B1" s="1" t="s">
        <v>5</v>
      </c>
      <c r="C1" s="1" t="s">
        <v>0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 t="b">
        <v>1</v>
      </c>
      <c r="B2" s="2">
        <v>0</v>
      </c>
      <c r="C2">
        <v>1001</v>
      </c>
      <c r="D2" s="2">
        <v>150</v>
      </c>
      <c r="E2" s="2">
        <v>150</v>
      </c>
      <c r="F2" t="s">
        <v>117</v>
      </c>
    </row>
    <row r="3" spans="1:6" x14ac:dyDescent="0.55000000000000004">
      <c r="A3" t="b">
        <v>1</v>
      </c>
      <c r="B3" s="2">
        <v>0</v>
      </c>
      <c r="C3">
        <v>1002</v>
      </c>
      <c r="D3" s="2">
        <v>225.5</v>
      </c>
      <c r="E3" s="2">
        <v>225.5</v>
      </c>
      <c r="F3" t="s">
        <v>119</v>
      </c>
    </row>
    <row r="4" spans="1:6" s="6" customFormat="1" x14ac:dyDescent="0.55000000000000004">
      <c r="A4" s="6" t="b">
        <v>0</v>
      </c>
      <c r="B4" s="7">
        <v>-0.25</v>
      </c>
      <c r="C4" s="6">
        <v>1004</v>
      </c>
      <c r="D4" s="7">
        <v>175</v>
      </c>
      <c r="E4" s="7">
        <v>175.25</v>
      </c>
      <c r="F4" s="6" t="s">
        <v>121</v>
      </c>
    </row>
    <row r="5" spans="1:6" x14ac:dyDescent="0.55000000000000004">
      <c r="A5" t="b">
        <v>1</v>
      </c>
      <c r="B5" s="2">
        <v>0</v>
      </c>
      <c r="C5">
        <v>1006</v>
      </c>
      <c r="D5" s="2">
        <v>300</v>
      </c>
      <c r="E5" s="2">
        <v>300</v>
      </c>
      <c r="F5" t="s">
        <v>123</v>
      </c>
    </row>
    <row r="6" spans="1:6" s="6" customFormat="1" x14ac:dyDescent="0.55000000000000004">
      <c r="A6" s="6" t="b">
        <v>0</v>
      </c>
      <c r="B6" s="7">
        <v>0.25</v>
      </c>
      <c r="C6" s="6">
        <v>1007</v>
      </c>
      <c r="D6" s="7">
        <v>425.75</v>
      </c>
      <c r="E6" s="7">
        <v>425.5</v>
      </c>
      <c r="F6" s="6" t="s">
        <v>124</v>
      </c>
    </row>
    <row r="7" spans="1:6" x14ac:dyDescent="0.55000000000000004">
      <c r="A7" t="b">
        <v>1</v>
      </c>
      <c r="B7" s="2">
        <v>0</v>
      </c>
      <c r="C7">
        <v>1010</v>
      </c>
      <c r="D7" s="2">
        <v>210</v>
      </c>
      <c r="E7" s="2">
        <v>210</v>
      </c>
      <c r="F7" t="s">
        <v>126</v>
      </c>
    </row>
    <row r="8" spans="1:6" s="6" customFormat="1" x14ac:dyDescent="0.55000000000000004">
      <c r="A8" s="6" t="b">
        <v>0</v>
      </c>
      <c r="B8" s="7">
        <v>-4.5</v>
      </c>
      <c r="C8" s="6">
        <v>1011</v>
      </c>
      <c r="D8" s="7">
        <v>275.5</v>
      </c>
      <c r="E8" s="7">
        <v>280</v>
      </c>
      <c r="F8" s="6" t="s">
        <v>127</v>
      </c>
    </row>
    <row r="9" spans="1:6" s="6" customFormat="1" x14ac:dyDescent="0.55000000000000004">
      <c r="A9" s="6" t="b">
        <v>0</v>
      </c>
      <c r="B9" s="7">
        <v>-195</v>
      </c>
      <c r="C9" s="6">
        <v>1013</v>
      </c>
      <c r="D9" s="7">
        <v>0</v>
      </c>
      <c r="E9" s="7">
        <v>195</v>
      </c>
    </row>
    <row r="10" spans="1:6" x14ac:dyDescent="0.55000000000000004">
      <c r="A10" t="b">
        <v>1</v>
      </c>
      <c r="B10" s="2">
        <v>-0.03</v>
      </c>
      <c r="C10">
        <v>1014</v>
      </c>
      <c r="D10" s="2">
        <v>0</v>
      </c>
      <c r="E10" s="2">
        <v>0.03</v>
      </c>
    </row>
    <row r="11" spans="1:6" x14ac:dyDescent="0.55000000000000004">
      <c r="A11" t="b">
        <v>1</v>
      </c>
      <c r="B11" s="2">
        <v>0.03</v>
      </c>
      <c r="C11">
        <v>1015</v>
      </c>
      <c r="D11" s="2">
        <v>0</v>
      </c>
      <c r="E11" s="2">
        <v>-0.03</v>
      </c>
    </row>
    <row r="12" spans="1:6" x14ac:dyDescent="0.55000000000000004">
      <c r="A12" t="b">
        <v>1</v>
      </c>
      <c r="B12" s="2">
        <v>-1.9999999999999997E-2</v>
      </c>
      <c r="C12">
        <v>1016</v>
      </c>
      <c r="D12" s="2">
        <v>0</v>
      </c>
      <c r="E12" s="2">
        <v>1.9999999999999997E-2</v>
      </c>
    </row>
    <row r="13" spans="1:6" x14ac:dyDescent="0.55000000000000004">
      <c r="A13" t="b">
        <v>1</v>
      </c>
      <c r="B13" s="2">
        <v>1.9999999999999997E-2</v>
      </c>
      <c r="C13">
        <v>1017</v>
      </c>
      <c r="D13" s="2">
        <v>0</v>
      </c>
      <c r="E13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35CD8-0B89-4BCC-A5ED-F303CB477D49}">
  <sheetPr codeName="Sheet5"/>
  <dimension ref="A1:F17"/>
  <sheetViews>
    <sheetView workbookViewId="0"/>
  </sheetViews>
  <sheetFormatPr defaultRowHeight="14.4" x14ac:dyDescent="0.55000000000000004"/>
  <cols>
    <col min="1" max="1" width="4.68359375" bestFit="1" customWidth="1"/>
    <col min="2" max="2" width="6.68359375" bestFit="1" customWidth="1"/>
    <col min="3" max="3" width="9.15625" bestFit="1" customWidth="1"/>
    <col min="4" max="5" width="12.9453125" bestFit="1" customWidth="1"/>
    <col min="6" max="6" width="14.26171875" bestFit="1" customWidth="1"/>
  </cols>
  <sheetData>
    <row r="1" spans="1:6" x14ac:dyDescent="0.55000000000000004">
      <c r="A1" s="1" t="s">
        <v>0</v>
      </c>
      <c r="B1" s="1" t="s">
        <v>11</v>
      </c>
      <c r="C1" s="1" t="s">
        <v>13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>
        <v>1001</v>
      </c>
      <c r="B2" t="s">
        <v>66</v>
      </c>
      <c r="C2">
        <v>100</v>
      </c>
      <c r="D2" s="2">
        <v>150</v>
      </c>
      <c r="E2" s="2">
        <v>150</v>
      </c>
      <c r="F2" t="s">
        <v>117</v>
      </c>
    </row>
    <row r="3" spans="1:6" x14ac:dyDescent="0.55000000000000004">
      <c r="A3">
        <v>1001</v>
      </c>
      <c r="B3" t="s">
        <v>66</v>
      </c>
      <c r="C3">
        <v>50</v>
      </c>
      <c r="D3" s="2">
        <v>150</v>
      </c>
      <c r="E3" s="2">
        <v>150</v>
      </c>
      <c r="F3" t="s">
        <v>117</v>
      </c>
    </row>
    <row r="4" spans="1:6" x14ac:dyDescent="0.55000000000000004">
      <c r="A4">
        <v>1002</v>
      </c>
      <c r="B4" t="s">
        <v>66</v>
      </c>
      <c r="C4">
        <v>150.5</v>
      </c>
      <c r="D4" s="2">
        <v>225.5</v>
      </c>
      <c r="E4" s="2">
        <v>225.5</v>
      </c>
      <c r="F4" t="s">
        <v>119</v>
      </c>
    </row>
    <row r="5" spans="1:6" x14ac:dyDescent="0.55000000000000004">
      <c r="A5">
        <v>1002</v>
      </c>
      <c r="B5" t="s">
        <v>66</v>
      </c>
      <c r="C5">
        <v>75</v>
      </c>
      <c r="D5" s="2">
        <v>225.5</v>
      </c>
      <c r="E5" s="2">
        <v>225.5</v>
      </c>
      <c r="F5" t="s">
        <v>119</v>
      </c>
    </row>
    <row r="6" spans="1:6" x14ac:dyDescent="0.55000000000000004">
      <c r="A6">
        <v>1006</v>
      </c>
      <c r="B6" t="s">
        <v>66</v>
      </c>
      <c r="C6">
        <v>200</v>
      </c>
      <c r="D6" s="2">
        <v>300</v>
      </c>
      <c r="E6" s="2">
        <v>300</v>
      </c>
      <c r="F6" t="s">
        <v>123</v>
      </c>
    </row>
    <row r="7" spans="1:6" x14ac:dyDescent="0.55000000000000004">
      <c r="A7">
        <v>1006</v>
      </c>
      <c r="B7" t="s">
        <v>66</v>
      </c>
      <c r="C7">
        <v>100</v>
      </c>
      <c r="D7" s="2">
        <v>300</v>
      </c>
      <c r="E7" s="2">
        <v>300</v>
      </c>
      <c r="F7" t="s">
        <v>123</v>
      </c>
    </row>
    <row r="8" spans="1:6" x14ac:dyDescent="0.55000000000000004">
      <c r="A8">
        <v>1010</v>
      </c>
      <c r="B8" t="s">
        <v>66</v>
      </c>
      <c r="C8">
        <v>150</v>
      </c>
      <c r="D8" s="2">
        <v>210</v>
      </c>
      <c r="E8" s="2">
        <v>210</v>
      </c>
      <c r="F8" t="s">
        <v>126</v>
      </c>
    </row>
    <row r="9" spans="1:6" x14ac:dyDescent="0.55000000000000004">
      <c r="A9">
        <v>1010</v>
      </c>
      <c r="B9" t="s">
        <v>66</v>
      </c>
      <c r="C9">
        <v>60</v>
      </c>
      <c r="D9" s="2">
        <v>210</v>
      </c>
      <c r="E9" s="2">
        <v>210</v>
      </c>
      <c r="F9" t="s">
        <v>126</v>
      </c>
    </row>
    <row r="10" spans="1:6" x14ac:dyDescent="0.55000000000000004">
      <c r="A10">
        <v>1014</v>
      </c>
      <c r="B10" t="s">
        <v>66</v>
      </c>
      <c r="C10">
        <v>0.01</v>
      </c>
      <c r="D10" s="2">
        <v>0</v>
      </c>
      <c r="E10" s="2">
        <v>0.03</v>
      </c>
    </row>
    <row r="11" spans="1:6" x14ac:dyDescent="0.55000000000000004">
      <c r="A11">
        <v>1014</v>
      </c>
      <c r="B11" t="s">
        <v>66</v>
      </c>
      <c r="C11">
        <v>0.02</v>
      </c>
      <c r="D11" s="2">
        <v>0</v>
      </c>
      <c r="E11" s="2">
        <v>0.03</v>
      </c>
    </row>
    <row r="12" spans="1:6" x14ac:dyDescent="0.55000000000000004">
      <c r="A12">
        <v>1015</v>
      </c>
      <c r="B12" t="s">
        <v>66</v>
      </c>
      <c r="C12">
        <v>-0.01</v>
      </c>
      <c r="D12" s="2">
        <v>0</v>
      </c>
      <c r="E12" s="2">
        <v>-0.03</v>
      </c>
    </row>
    <row r="13" spans="1:6" x14ac:dyDescent="0.55000000000000004">
      <c r="A13">
        <v>1015</v>
      </c>
      <c r="B13" t="s">
        <v>66</v>
      </c>
      <c r="C13">
        <v>-0.02</v>
      </c>
      <c r="D13" s="2">
        <v>0</v>
      </c>
      <c r="E13" s="2">
        <v>-0.03</v>
      </c>
    </row>
    <row r="14" spans="1:6" x14ac:dyDescent="0.55000000000000004">
      <c r="A14">
        <v>1016</v>
      </c>
      <c r="B14" t="s">
        <v>66</v>
      </c>
      <c r="C14">
        <v>0.03</v>
      </c>
      <c r="D14" s="2">
        <v>0</v>
      </c>
      <c r="E14" s="2">
        <v>1.9999999999999997E-2</v>
      </c>
    </row>
    <row r="15" spans="1:6" x14ac:dyDescent="0.55000000000000004">
      <c r="A15">
        <v>1016</v>
      </c>
      <c r="B15" t="s">
        <v>66</v>
      </c>
      <c r="C15">
        <v>-0.01</v>
      </c>
      <c r="D15" s="2">
        <v>0</v>
      </c>
      <c r="E15" s="2">
        <v>1.9999999999999997E-2</v>
      </c>
    </row>
    <row r="16" spans="1:6" x14ac:dyDescent="0.55000000000000004">
      <c r="A16">
        <v>1017</v>
      </c>
      <c r="B16" t="s">
        <v>66</v>
      </c>
      <c r="C16">
        <v>0.01</v>
      </c>
      <c r="D16" s="2">
        <v>0</v>
      </c>
      <c r="E16" s="2">
        <v>-1.9999999999999997E-2</v>
      </c>
    </row>
    <row r="17" spans="1:5" x14ac:dyDescent="0.55000000000000004">
      <c r="A17">
        <v>1017</v>
      </c>
      <c r="B17" t="s">
        <v>66</v>
      </c>
      <c r="C17">
        <v>-0.03</v>
      </c>
      <c r="D17" s="2">
        <v>0</v>
      </c>
      <c r="E17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617D9-546E-418E-A0D7-3C6F31105BD3}">
  <sheetPr codeName="Sheet6"/>
  <dimension ref="A1:E5"/>
  <sheetViews>
    <sheetView workbookViewId="0"/>
  </sheetViews>
  <sheetFormatPr defaultRowHeight="14.4" x14ac:dyDescent="0.55000000000000004"/>
  <cols>
    <col min="1" max="1" width="11.3125" bestFit="1" customWidth="1"/>
    <col min="2" max="2" width="4.68359375" bestFit="1" customWidth="1"/>
    <col min="3" max="4" width="12.9453125" bestFit="1" customWidth="1"/>
    <col min="5" max="5" width="14.3671875" bestFit="1" customWidth="1"/>
  </cols>
  <sheetData>
    <row r="1" spans="1:5" x14ac:dyDescent="0.55000000000000004">
      <c r="A1" s="1" t="s">
        <v>5</v>
      </c>
      <c r="B1" s="1" t="s">
        <v>0</v>
      </c>
      <c r="C1" s="1" t="s">
        <v>3</v>
      </c>
      <c r="D1" s="1" t="s">
        <v>4</v>
      </c>
      <c r="E1" s="1" t="s">
        <v>107</v>
      </c>
    </row>
    <row r="2" spans="1:5" s="6" customFormat="1" x14ac:dyDescent="0.55000000000000004">
      <c r="A2" s="7">
        <v>-0.25</v>
      </c>
      <c r="B2" s="6">
        <v>1004</v>
      </c>
      <c r="C2" s="7">
        <v>175</v>
      </c>
      <c r="D2" s="7">
        <v>175.25</v>
      </c>
      <c r="E2" s="6" t="s">
        <v>121</v>
      </c>
    </row>
    <row r="3" spans="1:5" s="6" customFormat="1" x14ac:dyDescent="0.55000000000000004">
      <c r="A3" s="7">
        <v>0.25</v>
      </c>
      <c r="B3" s="6">
        <v>1007</v>
      </c>
      <c r="C3" s="7">
        <v>425.75</v>
      </c>
      <c r="D3" s="7">
        <v>425.5</v>
      </c>
      <c r="E3" s="6" t="s">
        <v>124</v>
      </c>
    </row>
    <row r="4" spans="1:5" s="6" customFormat="1" x14ac:dyDescent="0.55000000000000004">
      <c r="A4" s="7">
        <v>-4.5</v>
      </c>
      <c r="B4" s="6">
        <v>1011</v>
      </c>
      <c r="C4" s="7">
        <v>275.5</v>
      </c>
      <c r="D4" s="7">
        <v>280</v>
      </c>
      <c r="E4" s="6" t="s">
        <v>127</v>
      </c>
    </row>
    <row r="5" spans="1:5" s="6" customFormat="1" x14ac:dyDescent="0.55000000000000004">
      <c r="A5" s="7">
        <v>-195</v>
      </c>
      <c r="B5" s="6">
        <v>1013</v>
      </c>
      <c r="C5" s="7">
        <v>0</v>
      </c>
      <c r="D5" s="7">
        <v>195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4B99A-29C2-494A-BC9D-F7FA7FB99F54}">
  <sheetPr codeName="Sheet9"/>
  <dimension ref="A1:H3"/>
  <sheetViews>
    <sheetView workbookViewId="0">
      <selection activeCell="A2" sqref="A2:G3"/>
    </sheetView>
  </sheetViews>
  <sheetFormatPr defaultRowHeight="14.4" x14ac:dyDescent="0.55000000000000004"/>
  <cols>
    <col min="1" max="1" width="11.578125" bestFit="1" customWidth="1"/>
    <col min="2" max="2" width="14.62890625" bestFit="1" customWidth="1"/>
    <col min="3" max="3" width="16.47265625" bestFit="1" customWidth="1"/>
    <col min="4" max="4" width="9.15625" bestFit="1" customWidth="1"/>
    <col min="5" max="5" width="10.15625" bestFit="1" customWidth="1"/>
    <col min="6" max="6" width="15.89453125" bestFit="1" customWidth="1"/>
    <col min="7" max="7" width="10.20703125" bestFit="1" customWidth="1"/>
  </cols>
  <sheetData>
    <row r="1" spans="1:8" x14ac:dyDescent="0.55000000000000004">
      <c r="A1" t="s">
        <v>104</v>
      </c>
      <c r="B1" t="s">
        <v>106</v>
      </c>
      <c r="C1" t="s">
        <v>108</v>
      </c>
      <c r="D1" t="s">
        <v>13</v>
      </c>
      <c r="E1" t="s">
        <v>109</v>
      </c>
      <c r="F1" t="s">
        <v>112</v>
      </c>
      <c r="G1" t="s">
        <v>182</v>
      </c>
      <c r="H1" t="s">
        <v>116</v>
      </c>
    </row>
    <row r="2" spans="1:8" x14ac:dyDescent="0.55000000000000004">
      <c r="A2">
        <v>1002</v>
      </c>
      <c r="B2" t="s">
        <v>119</v>
      </c>
      <c r="C2" t="s">
        <v>66</v>
      </c>
      <c r="D2">
        <v>150.5</v>
      </c>
      <c r="E2" t="s">
        <v>111</v>
      </c>
      <c r="F2" s="5">
        <v>46069</v>
      </c>
      <c r="H2">
        <f>20260216</f>
        <v>20260216</v>
      </c>
    </row>
    <row r="3" spans="1:8" x14ac:dyDescent="0.55000000000000004">
      <c r="A3">
        <v>1002</v>
      </c>
      <c r="B3" t="s">
        <v>119</v>
      </c>
      <c r="C3" t="s">
        <v>66</v>
      </c>
      <c r="D3">
        <v>75</v>
      </c>
      <c r="E3" t="s">
        <v>111</v>
      </c>
      <c r="F3" s="5">
        <v>46069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Backlog</vt:lpstr>
      <vt:lpstr>Workflows</vt:lpstr>
      <vt:lpstr>Recon Config</vt:lpstr>
      <vt:lpstr>Transform Config</vt:lpstr>
      <vt:lpstr>Recon Config - Summary</vt:lpstr>
      <vt:lpstr>Sheet1</vt:lpstr>
      <vt:lpstr>Sheet2</vt:lpstr>
      <vt:lpstr>Activity Log</vt:lpstr>
      <vt:lpstr>Fee All Results</vt:lpstr>
      <vt:lpstr>Fee Match Results</vt:lpstr>
      <vt:lpstr>Fee Error Results</vt:lpstr>
      <vt:lpstr>Fee Upload Ready</vt:lpstr>
      <vt:lpstr>Fee 2 All Results</vt:lpstr>
      <vt:lpstr>Fee 2 Match Results</vt:lpstr>
      <vt:lpstr>Fee 2 Error Results</vt:lpstr>
      <vt:lpstr>Fee 2 Upload 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Watt</dc:creator>
  <cp:lastModifiedBy>John Watt</cp:lastModifiedBy>
  <dcterms:created xsi:type="dcterms:W3CDTF">2026-02-12T00:06:16Z</dcterms:created>
  <dcterms:modified xsi:type="dcterms:W3CDTF">2026-02-17T20:18:32Z</dcterms:modified>
</cp:coreProperties>
</file>