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5357" documentId="8_{02591AEE-AA27-4992-A490-F4BCF6A95374}" xr6:coauthVersionLast="47" xr6:coauthVersionMax="47" xr10:uidLastSave="{7490347A-8042-4053-8B64-5BC6B63A0C9C}"/>
  <bookViews>
    <workbookView xWindow="45984" yWindow="0" windowWidth="19308" windowHeight="9804" tabRatio="901" firstSheet="5" activeTab="13" xr2:uid="{713D0E20-2510-4F46-8450-E6CC1A43B8CC}"/>
  </bookViews>
  <sheets>
    <sheet name="Backlog" sheetId="11" r:id="rId1"/>
    <sheet name="Workflows" sheetId="12" r:id="rId2"/>
    <sheet name="Recon Config" sheetId="1" r:id="rId3"/>
    <sheet name="Recon Config - Summary" sheetId="13" r:id="rId4"/>
    <sheet name="Transform Config" sheetId="8" r:id="rId5"/>
    <sheet name="Transform Config - Summary" sheetId="14" r:id="rId6"/>
    <sheet name="Sheet1" sheetId="3" r:id="rId7"/>
    <sheet name="Sheet2" sheetId="2" r:id="rId8"/>
    <sheet name="All Results" sheetId="4" r:id="rId9"/>
    <sheet name="Match Results" sheetId="5" r:id="rId10"/>
    <sheet name="Error Results" sheetId="6" r:id="rId11"/>
    <sheet name="Export" sheetId="9" r:id="rId12"/>
    <sheet name="Summary Export" sheetId="15" r:id="rId13"/>
    <sheet name="Activity Log" sheetId="18" r:id="rId14"/>
  </sheets>
  <definedNames>
    <definedName name="_xleta.VALUE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9" l="1"/>
  <c r="E3" i="9"/>
  <c r="E4" i="9"/>
  <c r="E5" i="9"/>
  <c r="E6" i="9"/>
  <c r="E7" i="9"/>
  <c r="E8" i="9"/>
  <c r="E9" i="9"/>
  <c r="E10" i="9"/>
  <c r="E11" i="9"/>
  <c r="I2" i="15"/>
</calcChain>
</file>

<file path=xl/sharedStrings.xml><?xml version="1.0" encoding="utf-8"?>
<sst xmlns="http://schemas.openxmlformats.org/spreadsheetml/2006/main" count="335" uniqueCount="125">
  <si>
    <t xml:space="preserve"> Sheet1 ID Column </t>
  </si>
  <si>
    <t xml:space="preserve"> Sheet2 ID Column </t>
  </si>
  <si>
    <t xml:space="preserve"> Sheet1 Value Columns </t>
  </si>
  <si>
    <t xml:space="preserve"> Sheet2 Value Columns </t>
  </si>
  <si>
    <t>ID</t>
  </si>
  <si>
    <t>Value</t>
  </si>
  <si>
    <t>Setting</t>
  </si>
  <si>
    <t>Field1</t>
  </si>
  <si>
    <t>Field2</t>
  </si>
  <si>
    <t>Field3</t>
  </si>
  <si>
    <t>lorem</t>
  </si>
  <si>
    <t>ipsum</t>
  </si>
  <si>
    <t>dolor</t>
  </si>
  <si>
    <t>Sheet1 Total</t>
  </si>
  <si>
    <t>Sheet2 Total</t>
  </si>
  <si>
    <t>Difference</t>
  </si>
  <si>
    <t>IsMatch</t>
  </si>
  <si>
    <t>Transform Name</t>
  </si>
  <si>
    <t>Source Sheet</t>
  </si>
  <si>
    <t>Target Sheet</t>
  </si>
  <si>
    <t>Export</t>
  </si>
  <si>
    <t>Order</t>
  </si>
  <si>
    <t>Target Column</t>
  </si>
  <si>
    <t>Type</t>
  </si>
  <si>
    <t>Source</t>
  </si>
  <si>
    <t>Existing</t>
  </si>
  <si>
    <t>Amount</t>
  </si>
  <si>
    <t>Static</t>
  </si>
  <si>
    <t>Priority</t>
  </si>
  <si>
    <t>Formula</t>
  </si>
  <si>
    <t>Export_Matches</t>
  </si>
  <si>
    <t>Match Results</t>
  </si>
  <si>
    <t>Description</t>
  </si>
  <si>
    <t>Amount needed to be adjusted</t>
  </si>
  <si>
    <t>IF([@Amount]&gt;100,"HIGH","LOW")</t>
  </si>
  <si>
    <t>Value-Plus,-Value-Minus</t>
  </si>
  <si>
    <t>Value-Plus</t>
  </si>
  <si>
    <t>Value-Minus</t>
  </si>
  <si>
    <t>Tolerance</t>
  </si>
  <si>
    <t>ParentID</t>
  </si>
  <si>
    <t>A1</t>
  </si>
  <si>
    <t>A2</t>
  </si>
  <si>
    <t>Sheet1 Additional Columns</t>
  </si>
  <si>
    <t>Detail Sheet</t>
  </si>
  <si>
    <t>Sheet2</t>
  </si>
  <si>
    <t>Sheet2 Additional Columns</t>
  </si>
  <si>
    <t>Column1</t>
  </si>
  <si>
    <t>Value-Plus,Value-Minus,Field1,Field2,Field3</t>
  </si>
  <si>
    <t>Sort Order</t>
  </si>
  <si>
    <t>ParentID,ID</t>
  </si>
  <si>
    <t>Logging</t>
  </si>
  <si>
    <t>Create new sheets</t>
  </si>
  <si>
    <t>workflows - ability to create multiple configs for summary and detail, summary-summary, create new export or use existing</t>
  </si>
  <si>
    <t>schemas to verify if loaded files match expected</t>
  </si>
  <si>
    <t>Workflow Name</t>
  </si>
  <si>
    <t>Recon Config Sheet</t>
  </si>
  <si>
    <t>Transform Config Sheet</t>
  </si>
  <si>
    <t>Result Sheet Prefix</t>
  </si>
  <si>
    <t>Default</t>
  </si>
  <si>
    <t>Recon Config</t>
  </si>
  <si>
    <t>Summary Comparison</t>
  </si>
  <si>
    <t>Standard comparison with 1 sheet that is summary level, with unique ID per row and another transaction-level sheet that is not unique</t>
  </si>
  <si>
    <t>Many-to-many comparison of detail items. As such, the results produced will always be a comparison of summary level totals</t>
  </si>
  <si>
    <t>Transform Config</t>
  </si>
  <si>
    <t>Summary</t>
  </si>
  <si>
    <t>Transform Config - Summary</t>
  </si>
  <si>
    <t>Recon Config - Summary</t>
  </si>
  <si>
    <t>Sheet1 ID Column</t>
  </si>
  <si>
    <t>Sheet2 ID Column</t>
  </si>
  <si>
    <t>Sheet1 Value Columns</t>
  </si>
  <si>
    <t>Sheet2 Value Columns</t>
  </si>
  <si>
    <t>+Debits,-Credits</t>
  </si>
  <si>
    <t>Region,Department</t>
  </si>
  <si>
    <t>AccountCode,Source</t>
  </si>
  <si>
    <t>Difference DESC,ID</t>
  </si>
  <si>
    <t>Region</t>
  </si>
  <si>
    <t>Department</t>
  </si>
  <si>
    <t>AccountCode</t>
  </si>
  <si>
    <t>Status</t>
  </si>
  <si>
    <t>IF(ABS([@Difference])&lt;0.02,"OK","REVIEW")</t>
  </si>
  <si>
    <t>Export_Summary_Matches</t>
  </si>
  <si>
    <t>Summary Export</t>
  </si>
  <si>
    <t>B1</t>
  </si>
  <si>
    <t>B2</t>
  </si>
  <si>
    <t>C1</t>
  </si>
  <si>
    <t>C2</t>
  </si>
  <si>
    <t>sit</t>
  </si>
  <si>
    <t>amet</t>
  </si>
  <si>
    <t>consectetur</t>
  </si>
  <si>
    <t>adipiscing</t>
  </si>
  <si>
    <t>elit</t>
  </si>
  <si>
    <t>sed</t>
  </si>
  <si>
    <t>do</t>
  </si>
  <si>
    <t>eiusmod</t>
  </si>
  <si>
    <t>tempor</t>
  </si>
  <si>
    <t>incididunt</t>
  </si>
  <si>
    <t>ut</t>
  </si>
  <si>
    <t>labore</t>
  </si>
  <si>
    <t>et</t>
  </si>
  <si>
    <t>dolore</t>
  </si>
  <si>
    <t>magna</t>
  </si>
  <si>
    <t>East</t>
  </si>
  <si>
    <t>Sales</t>
  </si>
  <si>
    <t>West</t>
  </si>
  <si>
    <t>Marketing</t>
  </si>
  <si>
    <t>North</t>
  </si>
  <si>
    <t>Operations</t>
  </si>
  <si>
    <t>South</t>
  </si>
  <si>
    <t>Finance</t>
  </si>
  <si>
    <t>Timestamp</t>
  </si>
  <si>
    <t>Workflow</t>
  </si>
  <si>
    <t>User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</si>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</sst>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0" fillId="3" borderId="0" xfId="0" applyFill="1"/>
    <xf numFmtId="4" fontId="0" fillId="3" borderId="0" xfId="0" applyNumberFormat="1" applyFill="1"/>
    <xf numFmtId="4" fontId="0" fillId="0" borderId="0" xfId="0" applyNumberFormat="1"/>
    <xf numFmtId="0" fontId="0" fillId="2" borderId="0" xfId="0" applyFont="1" applyFill="1"/>
    <xf numFmtId="0" fontId="0" fillId="0" borderId="0" xfId="0" applyFont="1"/>
    <xf numFmtId="168" fontId="0" fillId="2" borderId="0" xfId="0" applyNumberFormat="1" applyFont="1" applyFill="1"/>
  </cellXfs>
  <cellStyles count="1">
    <cellStyle name="Normal" xfId="0" builtinId="0"/>
  </cellStyles>
  <dxfs count="24">
    <dxf>
      <font>
        <b val="0"/>
      </font>
      <numFmt numFmtId="168" formatCode="yyyy\-mm\-dd\ hh:mm:ss"/>
    </dxf>
    <dxf>
      <font>
        <b val="0"/>
      </font>
    </dxf>
    <dxf>
      <numFmt numFmtId="0" formatCode="General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D0A5EEF3-806C-4511-99F8-3A5CE7649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1</xdr:row>
          <xdr:rowOff>22860</xdr:rowOff>
        </xdr:from>
        <xdr:to>
          <xdr:col>7</xdr:col>
          <xdr:colOff>601980</xdr:colOff>
          <xdr:row>4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A9AA00B9-159E-23B5-E144-7D1442BE9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1</xdr:row>
          <xdr:rowOff>22860</xdr:rowOff>
        </xdr:from>
        <xdr:to>
          <xdr:col>7</xdr:col>
          <xdr:colOff>601980</xdr:colOff>
          <xdr:row>4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133DB2E3-9DCA-4037-921D-01E0047BB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E3" totalsRowShown="0">
  <autoFilter ref="A1:E3" xr:uid="{0D5CB000-ED62-441A-9753-2EEACC34621D}"/>
  <tableColumns count="5">
    <tableColumn id="1" xr3:uid="{2CD75CB4-B4FB-4F00-8D16-88E466813EF2}" name="Workflow Name"/>
    <tableColumn id="2" xr3:uid="{DFC0575D-9665-46D4-943F-EE74D7E1328F}" name="Recon Config Sheet"/>
    <tableColumn id="3" xr3:uid="{E914D421-5DC5-454A-B55B-A8B625E1830A}" name="Transform Config Sheet"/>
    <tableColumn id="4" xr3:uid="{957FEC6B-8EE8-40F6-9263-A6868FD910F9}" name="Result Sheet Prefix"/>
    <tableColumn id="5" xr3:uid="{C5A822E3-D262-4527-891E-D758CC7DA721}" name="Description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B11" totalsRowShown="0">
  <autoFilter ref="A1:B11" xr:uid="{E30DB9FC-46B6-4658-AFB8-DF25777769FF}"/>
  <tableColumns count="2">
    <tableColumn id="1" xr3:uid="{5FAC4FBB-B6AC-44D5-B30C-907DDFB769B8}" name="Setting"/>
    <tableColumn id="2" xr3:uid="{09AC9202-6B07-40A8-BFFC-88519053ED12}" name="Valu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B11" totalsRowShown="0">
  <autoFilter ref="A1:B11" xr:uid="{E30DB9FC-46B6-4658-AFB8-DF25777769FF}"/>
  <tableColumns count="2">
    <tableColumn id="1" xr3:uid="{344FCB07-A995-4110-A809-03B8EF12A874}" name="Setting"/>
    <tableColumn id="2" xr3:uid="{0BE9531F-3678-4582-862F-551A1570D0C9}" name="Valu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2FC7D7E-90C2-4A37-908A-AE6A630AC242}" name="ReconResultsTable" displayName="ReconResultsTable" ref="A1:F8" totalsRowShown="0" headerRowDxfId="13">
  <autoFilter ref="A1:F8" xr:uid="{22FC7D7E-90C2-4A37-908A-AE6A630AC242}"/>
  <tableColumns count="6">
    <tableColumn id="1" xr3:uid="{5DA60F24-90A4-4A9A-B24B-96D22032D37E}" name="IsMatch"/>
    <tableColumn id="2" xr3:uid="{BE393FD4-D34A-4AF2-AAE5-38BC02A80D64}" name="Difference" dataDxfId="16"/>
    <tableColumn id="3" xr3:uid="{37F5BBB9-67A6-4279-AE45-793F0C2254ED}" name="ID"/>
    <tableColumn id="4" xr3:uid="{EA5C8EB3-EA3E-4B58-9702-1F5F03A5B3D3}" name="Sheet1 Total" dataDxfId="15"/>
    <tableColumn id="5" xr3:uid="{E87EC1A0-40BB-4843-BDDA-8A945BDED66A}" name="Sheet2 Total" dataDxfId="14"/>
    <tableColumn id="6" xr3:uid="{83AC6870-FD50-4BC4-84ED-04295B369CE7}" name="Parent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9CA1CB7-CABF-4853-805B-0D7F8901A0F2}" name="MatchResultsTable" displayName="MatchResultsTable" ref="A1:I11" totalsRowShown="0" headerRowDxfId="12">
  <autoFilter ref="A1:I11" xr:uid="{B9CA1CB7-CABF-4853-805B-0D7F8901A0F2}"/>
  <tableColumns count="9">
    <tableColumn id="1" xr3:uid="{504F755D-0F56-4E44-BABB-27BC65A4966C}" name="ID"/>
    <tableColumn id="2" xr3:uid="{50C7CA43-C698-4111-9243-0AAD15152557}" name="Value-Plus"/>
    <tableColumn id="3" xr3:uid="{D924E17C-0A48-4BD0-881F-3F4BF2239D49}" name="Value-Minus"/>
    <tableColumn id="4" xr3:uid="{6A3F7C78-63F9-4A9D-9B61-49E72DCC57E5}" name="Field1"/>
    <tableColumn id="5" xr3:uid="{63592DDD-AC2B-4F93-B232-FBBB849C3D8D}" name="Field2"/>
    <tableColumn id="6" xr3:uid="{7E2E2974-5954-44C5-A23F-E1972B0ED229}" name="Field3"/>
    <tableColumn id="7" xr3:uid="{DB4A819F-16D0-4C40-8928-10BC0C5129EC}" name="Sheet1 Total" dataDxfId="11"/>
    <tableColumn id="8" xr3:uid="{2C33424B-997B-41A2-BF6A-50ED01850D55}" name="Sheet2 Total" dataDxfId="10"/>
    <tableColumn id="9" xr3:uid="{B0F384C1-089A-4AFA-BEA1-5049405DCD35}" name="ParentID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9EF1049-64EB-40B9-AF77-9BC943FC27BA}" name="ErrorResultsTable" displayName="ErrorResultsTable" ref="A1:E2" totalsRowShown="0" headerRowDxfId="8" dataDxfId="9">
  <autoFilter ref="A1:E2" xr:uid="{D9EF1049-64EB-40B9-AF77-9BC943FC27BA}"/>
  <tableColumns count="5">
    <tableColumn id="1" xr3:uid="{1E1781ED-6C11-4906-A531-D42FDCC6A439}" name="Difference" dataDxfId="7"/>
    <tableColumn id="2" xr3:uid="{334150EE-A2ED-4A98-8DBB-B502FD3817CA}" name="ID" dataDxfId="6"/>
    <tableColumn id="3" xr3:uid="{1A176BB0-6F1A-455E-9770-7337CE535F49}" name="Sheet1 Total" dataDxfId="5"/>
    <tableColumn id="4" xr3:uid="{EAB426B6-61A2-463D-B844-66EC9B5978B6}" name="Sheet2 Total" dataDxfId="3"/>
    <tableColumn id="5" xr3:uid="{4D37F46E-83B9-46DB-9918-F9193A412DE8}" name="ParentID" dataDxfId="4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9EE02A38-6A9A-41C8-A70B-8C2B05F2EB2E}" name="Table45" displayName="Table45" ref="A1:E11" totalsRowShown="0">
  <autoFilter ref="A1:E11" xr:uid="{9EE02A38-6A9A-41C8-A70B-8C2B05F2EB2E}"/>
  <tableColumns count="5">
    <tableColumn id="1" xr3:uid="{581492ED-F9D0-48C8-A479-339004B16983}" name="ParentID"/>
    <tableColumn id="2" xr3:uid="{C903507A-DD1F-45ED-B5C5-91D91D7D98F5}" name="ID"/>
    <tableColumn id="3" xr3:uid="{BC73A277-8444-4CCA-9D8B-4D8C3F7BFCB0}" name="Amount"/>
    <tableColumn id="4" xr3:uid="{B75657C0-13EA-4B4F-A9FD-EC5FBE24CDC9}" name="Description"/>
    <tableColumn id="5" xr3:uid="{9F8DD351-FE51-4553-B768-49E47BFAC41F}" name="Priority" dataDxfId="2">
      <calculatedColumnFormula>IF(Table45[[#This Row],[Amount]]&gt;100,"HIGH","LOW")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D3398F9-ED62-423D-9A8F-53C0ED0C88B9}" name="Table20" displayName="Table20" ref="A1:H6" totalsRowShown="0">
  <autoFilter ref="A1:H6" xr:uid="{7D3398F9-ED62-423D-9A8F-53C0ED0C88B9}"/>
  <tableColumns count="8">
    <tableColumn id="1" xr3:uid="{00A6A18B-2327-4D1E-B7C8-6303AAB3B1D2}" name="Column1"/>
    <tableColumn id="2" xr3:uid="{3F4F4538-497D-4CBF-98CF-226BA5BF7E2D}" name="Region"/>
    <tableColumn id="3" xr3:uid="{48E6F9BF-FB82-473F-AC0F-0FDEDEFD8233}" name="Department"/>
    <tableColumn id="4" xr3:uid="{4E0E57B4-BE4F-44F9-B6AA-870D2054E37F}" name="AccountCode"/>
    <tableColumn id="5" xr3:uid="{1E2A7BD2-73CC-4C8F-AD71-AC9DE04D7BA0}" name="Source"/>
    <tableColumn id="6" xr3:uid="{178CF135-2802-4AD6-BACC-FAE533E04234}" name="Sheet1 Total"/>
    <tableColumn id="7" xr3:uid="{3E216DBC-96EE-4953-BEC2-9795935D578D}" name="Sheet2 Total"/>
    <tableColumn id="8" xr3:uid="{5D0C887C-F07C-4075-9FD0-36EB5BD8656D}" name="Differe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12" totalsRowShown="0" headerRowDxfId="18" dataDxfId="17">
  <autoFilter ref="A1:G12" xr:uid="{DB7B2E8A-BF7A-4C0E-AAE0-978BC32CA210}"/>
  <tableColumns count="7">
    <tableColumn id="1" xr3:uid="{86057603-0B59-4727-B9F1-402FC57F3ADD}" name="Timestamp" dataDxfId="0"/>
    <tableColumn id="2" xr3:uid="{407CBD76-E900-4369-B500-2462E84AD2F2}" name="Operation" dataDxfId="1"/>
    <tableColumn id="3" xr3:uid="{0F131029-F39E-4AC2-B463-D1D9E5626947}" name="Workflow" dataDxfId="23"/>
    <tableColumn id="4" xr3:uid="{D5CE1952-DF24-4666-B97F-4075EE416DB3}" name="Details" dataDxfId="22"/>
    <tableColumn id="5" xr3:uid="{543A8991-CDDC-4C9E-B81B-17ECAEB28DFE}" name="Status" dataDxfId="21"/>
    <tableColumn id="6" xr3:uid="{CF2B62BD-8429-4C59-A817-109A9F6D4BBB}" name="Records" dataDxfId="20"/>
    <tableColumn id="7" xr3:uid="{3F5609B9-709E-4A2A-8885-1708EF552567}" name="User" dataDxfId="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4"/>
  <sheetViews>
    <sheetView workbookViewId="0"/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50</v>
      </c>
    </row>
    <row r="2" spans="1:1" x14ac:dyDescent="0.55000000000000004">
      <c r="A2" t="s">
        <v>51</v>
      </c>
    </row>
    <row r="3" spans="1:1" x14ac:dyDescent="0.55000000000000004">
      <c r="A3" t="s">
        <v>52</v>
      </c>
    </row>
    <row r="4" spans="1:1" x14ac:dyDescent="0.55000000000000004">
      <c r="A4" t="s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E3"/>
  <sheetViews>
    <sheetView workbookViewId="0"/>
  </sheetViews>
  <sheetFormatPr defaultRowHeight="14.4" x14ac:dyDescent="0.55000000000000004"/>
  <cols>
    <col min="1" max="1" width="18.05078125" bestFit="1" customWidth="1"/>
    <col min="2" max="2" width="24.3671875" bestFit="1" customWidth="1"/>
    <col min="3" max="3" width="22.7890625" bestFit="1" customWidth="1"/>
    <col min="4" max="4" width="19.68359375" bestFit="1" customWidth="1"/>
    <col min="5" max="5" width="104.62890625" bestFit="1" customWidth="1"/>
  </cols>
  <sheetData>
    <row r="1" spans="1:5" x14ac:dyDescent="0.55000000000000004">
      <c r="A1" t="s">
        <v>54</v>
      </c>
      <c r="B1" t="s">
        <v>55</v>
      </c>
      <c r="C1" t="s">
        <v>56</v>
      </c>
      <c r="D1" t="s">
        <v>57</v>
      </c>
      <c r="E1" t="s">
        <v>32</v>
      </c>
    </row>
    <row r="2" spans="1:5" x14ac:dyDescent="0.55000000000000004">
      <c r="A2" t="s">
        <v>58</v>
      </c>
      <c r="B2" t="s">
        <v>59</v>
      </c>
      <c r="C2" t="s">
        <v>63</v>
      </c>
      <c r="E2" t="s">
        <v>61</v>
      </c>
    </row>
    <row r="3" spans="1:5" x14ac:dyDescent="0.55000000000000004">
      <c r="A3" t="s">
        <v>60</v>
      </c>
      <c r="B3" t="s">
        <v>66</v>
      </c>
      <c r="C3" t="s">
        <v>65</v>
      </c>
      <c r="D3" t="s">
        <v>64</v>
      </c>
      <c r="E3" t="s">
        <v>62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B10"/>
  <sheetViews>
    <sheetView workbookViewId="0">
      <selection activeCell="B6" sqref="B6"/>
    </sheetView>
  </sheetViews>
  <sheetFormatPr defaultRowHeight="14.4" x14ac:dyDescent="0.55000000000000004"/>
  <cols>
    <col min="1" max="1" width="22" bestFit="1" customWidth="1"/>
    <col min="2" max="2" width="36.1015625" bestFit="1" customWidth="1"/>
  </cols>
  <sheetData>
    <row r="1" spans="1:2" x14ac:dyDescent="0.55000000000000004">
      <c r="A1" t="s">
        <v>6</v>
      </c>
      <c r="B1" t="s">
        <v>5</v>
      </c>
    </row>
    <row r="2" spans="1:2" x14ac:dyDescent="0.55000000000000004">
      <c r="A2" t="s">
        <v>38</v>
      </c>
      <c r="B2">
        <v>0.03</v>
      </c>
    </row>
    <row r="3" spans="1:2" x14ac:dyDescent="0.55000000000000004">
      <c r="A3" t="s">
        <v>0</v>
      </c>
      <c r="B3" t="s">
        <v>4</v>
      </c>
    </row>
    <row r="4" spans="1:2" x14ac:dyDescent="0.55000000000000004">
      <c r="A4" t="s">
        <v>1</v>
      </c>
      <c r="B4" t="s">
        <v>4</v>
      </c>
    </row>
    <row r="5" spans="1:2" x14ac:dyDescent="0.55000000000000004">
      <c r="A5" t="s">
        <v>2</v>
      </c>
      <c r="B5" t="s">
        <v>5</v>
      </c>
    </row>
    <row r="6" spans="1:2" x14ac:dyDescent="0.55000000000000004">
      <c r="A6" t="s">
        <v>3</v>
      </c>
      <c r="B6" t="s">
        <v>35</v>
      </c>
    </row>
    <row r="7" spans="1:2" x14ac:dyDescent="0.55000000000000004">
      <c r="A7" t="s">
        <v>43</v>
      </c>
      <c r="B7" t="s">
        <v>44</v>
      </c>
    </row>
    <row r="8" spans="1:2" x14ac:dyDescent="0.55000000000000004">
      <c r="A8" t="s">
        <v>42</v>
      </c>
      <c r="B8" t="s">
        <v>39</v>
      </c>
    </row>
    <row r="9" spans="1:2" x14ac:dyDescent="0.55000000000000004">
      <c r="A9" t="s">
        <v>45</v>
      </c>
      <c r="B9" t="s">
        <v>47</v>
      </c>
    </row>
    <row r="10" spans="1:2" x14ac:dyDescent="0.55000000000000004">
      <c r="A10" t="s">
        <v>48</v>
      </c>
      <c r="B10" t="s">
        <v>49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B9"/>
  <sheetViews>
    <sheetView workbookViewId="0">
      <selection activeCell="A4" sqref="A4"/>
    </sheetView>
  </sheetViews>
  <sheetFormatPr defaultRowHeight="14.4" x14ac:dyDescent="0.55000000000000004"/>
  <cols>
    <col min="1" max="1" width="22" bestFit="1" customWidth="1"/>
    <col min="2" max="2" width="36.1015625" bestFit="1" customWidth="1"/>
  </cols>
  <sheetData>
    <row r="1" spans="1:2" x14ac:dyDescent="0.55000000000000004">
      <c r="A1" t="s">
        <v>6</v>
      </c>
      <c r="B1" t="s">
        <v>5</v>
      </c>
    </row>
    <row r="2" spans="1:2" x14ac:dyDescent="0.55000000000000004">
      <c r="A2" t="s">
        <v>67</v>
      </c>
      <c r="B2" t="s">
        <v>4</v>
      </c>
    </row>
    <row r="3" spans="1:2" x14ac:dyDescent="0.55000000000000004">
      <c r="A3" t="s">
        <v>68</v>
      </c>
      <c r="B3" t="s">
        <v>4</v>
      </c>
    </row>
    <row r="4" spans="1:2" x14ac:dyDescent="0.55000000000000004">
      <c r="A4" t="s">
        <v>69</v>
      </c>
      <c r="B4" t="s">
        <v>26</v>
      </c>
    </row>
    <row r="5" spans="1:2" x14ac:dyDescent="0.55000000000000004">
      <c r="A5" t="s">
        <v>70</v>
      </c>
      <c r="B5" t="s">
        <v>71</v>
      </c>
    </row>
    <row r="6" spans="1:2" x14ac:dyDescent="0.55000000000000004">
      <c r="A6" t="s">
        <v>42</v>
      </c>
      <c r="B6" t="s">
        <v>72</v>
      </c>
    </row>
    <row r="7" spans="1:2" x14ac:dyDescent="0.55000000000000004">
      <c r="A7" t="s">
        <v>45</v>
      </c>
      <c r="B7" t="s">
        <v>73</v>
      </c>
    </row>
    <row r="8" spans="1:2" x14ac:dyDescent="0.55000000000000004">
      <c r="A8" t="s">
        <v>38</v>
      </c>
      <c r="B8">
        <v>0.01</v>
      </c>
    </row>
    <row r="9" spans="1:2" x14ac:dyDescent="0.55000000000000004">
      <c r="A9" t="s">
        <v>48</v>
      </c>
      <c r="B9" t="s">
        <v>74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9"/>
  <sheetViews>
    <sheetView workbookViewId="0">
      <selection activeCell="B4" sqref="B4"/>
    </sheetView>
  </sheetViews>
  <sheetFormatPr defaultRowHeight="14.4" x14ac:dyDescent="0.55000000000000004"/>
  <cols>
    <col min="1" max="1" width="13.62890625" bestFit="1" customWidth="1"/>
    <col min="2" max="2" width="1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17</v>
      </c>
      <c r="B1" t="s">
        <v>18</v>
      </c>
      <c r="C1" t="s">
        <v>19</v>
      </c>
    </row>
    <row r="2" spans="1:4" x14ac:dyDescent="0.55000000000000004">
      <c r="A2" t="s">
        <v>30</v>
      </c>
      <c r="B2" t="s">
        <v>31</v>
      </c>
      <c r="C2" t="s">
        <v>20</v>
      </c>
    </row>
    <row r="4" spans="1:4" x14ac:dyDescent="0.55000000000000004">
      <c r="A4" t="s">
        <v>21</v>
      </c>
      <c r="B4" t="s">
        <v>22</v>
      </c>
      <c r="C4" t="s">
        <v>23</v>
      </c>
      <c r="D4" t="s">
        <v>24</v>
      </c>
    </row>
    <row r="5" spans="1:4" x14ac:dyDescent="0.55000000000000004">
      <c r="A5">
        <v>1</v>
      </c>
      <c r="B5" t="s">
        <v>39</v>
      </c>
      <c r="C5" t="s">
        <v>25</v>
      </c>
      <c r="D5" t="s">
        <v>39</v>
      </c>
    </row>
    <row r="6" spans="1:4" x14ac:dyDescent="0.55000000000000004">
      <c r="A6">
        <v>2</v>
      </c>
      <c r="B6" t="s">
        <v>4</v>
      </c>
      <c r="C6" t="s">
        <v>25</v>
      </c>
      <c r="D6" t="s">
        <v>4</v>
      </c>
    </row>
    <row r="7" spans="1:4" x14ac:dyDescent="0.55000000000000004">
      <c r="A7">
        <v>3</v>
      </c>
      <c r="B7" t="s">
        <v>26</v>
      </c>
      <c r="C7" t="s">
        <v>25</v>
      </c>
      <c r="D7" t="s">
        <v>13</v>
      </c>
    </row>
    <row r="8" spans="1:4" x14ac:dyDescent="0.55000000000000004">
      <c r="A8">
        <v>4</v>
      </c>
      <c r="B8" t="s">
        <v>32</v>
      </c>
      <c r="C8" t="s">
        <v>27</v>
      </c>
      <c r="D8" t="s">
        <v>33</v>
      </c>
    </row>
    <row r="9" spans="1:4" x14ac:dyDescent="0.55000000000000004">
      <c r="A9">
        <v>5</v>
      </c>
      <c r="B9" t="s">
        <v>28</v>
      </c>
      <c r="C9" t="s">
        <v>29</v>
      </c>
      <c r="D9" t="s">
        <v>34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6</xdr:col>
                    <xdr:colOff>53340</xdr:colOff>
                    <xdr:row>1</xdr:row>
                    <xdr:rowOff>22860</xdr:rowOff>
                  </from>
                  <to>
                    <xdr:col>7</xdr:col>
                    <xdr:colOff>601980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910FB-E40F-457D-83BE-BBD240408DC4}">
  <sheetPr codeName="Sheet11"/>
  <dimension ref="A1:D12"/>
  <sheetViews>
    <sheetView workbookViewId="0">
      <selection activeCell="D15" sqref="D15"/>
    </sheetView>
  </sheetViews>
  <sheetFormatPr defaultRowHeight="14.4" x14ac:dyDescent="0.55000000000000004"/>
  <cols>
    <col min="1" max="1" width="21.41796875" bestFit="1" customWidth="1"/>
    <col min="2" max="2" width="12.05078125" bestFit="1" customWidth="1"/>
    <col min="3" max="3" width="13.41796875" bestFit="1" customWidth="1"/>
    <col min="4" max="4" width="14" bestFit="1" customWidth="1"/>
  </cols>
  <sheetData>
    <row r="1" spans="1:4" x14ac:dyDescent="0.55000000000000004">
      <c r="A1" t="s">
        <v>17</v>
      </c>
      <c r="B1" t="s">
        <v>18</v>
      </c>
      <c r="C1" t="s">
        <v>19</v>
      </c>
    </row>
    <row r="2" spans="1:4" x14ac:dyDescent="0.55000000000000004">
      <c r="A2" t="s">
        <v>80</v>
      </c>
      <c r="B2" t="s">
        <v>31</v>
      </c>
      <c r="C2" t="s">
        <v>81</v>
      </c>
    </row>
    <row r="4" spans="1:4" x14ac:dyDescent="0.55000000000000004">
      <c r="A4">
        <v>1</v>
      </c>
      <c r="B4" t="s">
        <v>4</v>
      </c>
      <c r="C4" t="s">
        <v>25</v>
      </c>
      <c r="D4" t="s">
        <v>4</v>
      </c>
    </row>
    <row r="5" spans="1:4" x14ac:dyDescent="0.55000000000000004">
      <c r="A5">
        <v>2</v>
      </c>
      <c r="B5" t="s">
        <v>75</v>
      </c>
      <c r="C5" t="s">
        <v>25</v>
      </c>
      <c r="D5" t="s">
        <v>75</v>
      </c>
    </row>
    <row r="6" spans="1:4" x14ac:dyDescent="0.55000000000000004">
      <c r="A6">
        <v>3</v>
      </c>
      <c r="B6" t="s">
        <v>76</v>
      </c>
      <c r="C6" t="s">
        <v>25</v>
      </c>
      <c r="D6" t="s">
        <v>76</v>
      </c>
    </row>
    <row r="7" spans="1:4" x14ac:dyDescent="0.55000000000000004">
      <c r="A7">
        <v>4</v>
      </c>
      <c r="B7" t="s">
        <v>77</v>
      </c>
      <c r="C7" t="s">
        <v>25</v>
      </c>
      <c r="D7" t="s">
        <v>77</v>
      </c>
    </row>
    <row r="8" spans="1:4" x14ac:dyDescent="0.55000000000000004">
      <c r="A8">
        <v>5</v>
      </c>
      <c r="B8" t="s">
        <v>24</v>
      </c>
      <c r="C8" t="s">
        <v>25</v>
      </c>
      <c r="D8" t="s">
        <v>24</v>
      </c>
    </row>
    <row r="9" spans="1:4" x14ac:dyDescent="0.55000000000000004">
      <c r="A9">
        <v>6</v>
      </c>
      <c r="B9" t="s">
        <v>13</v>
      </c>
      <c r="C9" t="s">
        <v>25</v>
      </c>
      <c r="D9" t="s">
        <v>13</v>
      </c>
    </row>
    <row r="10" spans="1:4" x14ac:dyDescent="0.55000000000000004">
      <c r="A10">
        <v>7</v>
      </c>
      <c r="B10" t="s">
        <v>14</v>
      </c>
      <c r="C10" t="s">
        <v>25</v>
      </c>
      <c r="D10" t="s">
        <v>14</v>
      </c>
    </row>
    <row r="11" spans="1:4" x14ac:dyDescent="0.55000000000000004">
      <c r="A11">
        <v>8</v>
      </c>
      <c r="B11" t="s">
        <v>15</v>
      </c>
      <c r="C11" t="s">
        <v>25</v>
      </c>
      <c r="D11" t="s">
        <v>15</v>
      </c>
    </row>
    <row r="12" spans="1:4" x14ac:dyDescent="0.55000000000000004">
      <c r="A12">
        <v>9</v>
      </c>
      <c r="B12" t="s">
        <v>78</v>
      </c>
      <c r="C12" t="s">
        <v>29</v>
      </c>
      <c r="D12" t="s">
        <v>79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ShowReconForm">
                <anchor moveWithCells="1" sizeWithCells="1">
                  <from>
                    <xdr:col>6</xdr:col>
                    <xdr:colOff>53340</xdr:colOff>
                    <xdr:row>1</xdr:row>
                    <xdr:rowOff>22860</xdr:rowOff>
                  </from>
                  <to>
                    <xdr:col>7</xdr:col>
                    <xdr:colOff>601980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C7"/>
  <sheetViews>
    <sheetView workbookViewId="0">
      <selection sqref="A1:F5"/>
    </sheetView>
  </sheetViews>
  <sheetFormatPr defaultRowHeight="14.4" x14ac:dyDescent="0.55000000000000004"/>
  <sheetData>
    <row r="1" spans="1:3" x14ac:dyDescent="0.55000000000000004">
      <c r="A1" t="s">
        <v>4</v>
      </c>
      <c r="B1" t="s">
        <v>5</v>
      </c>
      <c r="C1" t="s">
        <v>39</v>
      </c>
    </row>
    <row r="2" spans="1:3" x14ac:dyDescent="0.55000000000000004">
      <c r="A2">
        <v>1</v>
      </c>
      <c r="B2">
        <v>100</v>
      </c>
      <c r="C2" t="s">
        <v>40</v>
      </c>
    </row>
    <row r="3" spans="1:3" x14ac:dyDescent="0.55000000000000004">
      <c r="A3">
        <v>2</v>
      </c>
      <c r="B3">
        <v>200</v>
      </c>
      <c r="C3" t="s">
        <v>41</v>
      </c>
    </row>
    <row r="4" spans="1:3" x14ac:dyDescent="0.55000000000000004">
      <c r="A4">
        <v>3</v>
      </c>
      <c r="B4">
        <v>150.5</v>
      </c>
      <c r="C4" t="s">
        <v>82</v>
      </c>
    </row>
    <row r="5" spans="1:3" x14ac:dyDescent="0.55000000000000004">
      <c r="A5">
        <v>4</v>
      </c>
      <c r="B5">
        <v>75.25</v>
      </c>
      <c r="C5" t="s">
        <v>83</v>
      </c>
    </row>
    <row r="6" spans="1:3" x14ac:dyDescent="0.55000000000000004">
      <c r="A6">
        <v>5</v>
      </c>
      <c r="B6">
        <v>300</v>
      </c>
      <c r="C6" t="s">
        <v>84</v>
      </c>
    </row>
    <row r="7" spans="1:3" x14ac:dyDescent="0.55000000000000004">
      <c r="A7">
        <v>6</v>
      </c>
      <c r="B7">
        <v>125</v>
      </c>
      <c r="C7" t="s">
        <v>85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13"/>
  <sheetViews>
    <sheetView workbookViewId="0">
      <selection activeCell="D1" sqref="D1"/>
    </sheetView>
  </sheetViews>
  <sheetFormatPr defaultRowHeight="14.4" x14ac:dyDescent="0.55000000000000004"/>
  <sheetData>
    <row r="1" spans="1:6" x14ac:dyDescent="0.55000000000000004">
      <c r="A1" t="s">
        <v>4</v>
      </c>
      <c r="B1" t="s">
        <v>36</v>
      </c>
      <c r="C1" t="s">
        <v>37</v>
      </c>
      <c r="D1" t="s">
        <v>7</v>
      </c>
      <c r="E1" t="s">
        <v>8</v>
      </c>
      <c r="F1" t="s">
        <v>9</v>
      </c>
    </row>
    <row r="2" spans="1:6" x14ac:dyDescent="0.55000000000000004">
      <c r="A2">
        <v>1</v>
      </c>
      <c r="B2">
        <v>100</v>
      </c>
      <c r="C2">
        <v>0</v>
      </c>
      <c r="D2" t="s">
        <v>10</v>
      </c>
      <c r="E2" t="s">
        <v>11</v>
      </c>
      <c r="F2" t="s">
        <v>12</v>
      </c>
    </row>
    <row r="3" spans="1:6" x14ac:dyDescent="0.55000000000000004">
      <c r="A3">
        <v>2</v>
      </c>
      <c r="B3">
        <v>150</v>
      </c>
      <c r="C3">
        <v>0</v>
      </c>
      <c r="D3" t="s">
        <v>10</v>
      </c>
      <c r="E3" t="s">
        <v>11</v>
      </c>
      <c r="F3" t="s">
        <v>12</v>
      </c>
    </row>
    <row r="4" spans="1:6" x14ac:dyDescent="0.55000000000000004">
      <c r="A4">
        <v>2</v>
      </c>
      <c r="B4">
        <v>50</v>
      </c>
      <c r="C4">
        <v>0</v>
      </c>
      <c r="D4" t="s">
        <v>10</v>
      </c>
      <c r="E4" t="s">
        <v>11</v>
      </c>
      <c r="F4" t="s">
        <v>12</v>
      </c>
    </row>
    <row r="5" spans="1:6" x14ac:dyDescent="0.55000000000000004">
      <c r="A5">
        <v>3</v>
      </c>
      <c r="B5">
        <v>100.5</v>
      </c>
      <c r="C5">
        <v>0</v>
      </c>
      <c r="D5" t="s">
        <v>86</v>
      </c>
      <c r="E5" t="s">
        <v>87</v>
      </c>
      <c r="F5" t="s">
        <v>88</v>
      </c>
    </row>
    <row r="6" spans="1:6" x14ac:dyDescent="0.55000000000000004">
      <c r="A6">
        <v>3</v>
      </c>
      <c r="B6">
        <v>50.02</v>
      </c>
      <c r="C6">
        <v>0.02</v>
      </c>
      <c r="D6" t="s">
        <v>86</v>
      </c>
      <c r="E6" t="s">
        <v>87</v>
      </c>
      <c r="F6" t="s">
        <v>88</v>
      </c>
    </row>
    <row r="7" spans="1:6" x14ac:dyDescent="0.55000000000000004">
      <c r="A7">
        <v>4</v>
      </c>
      <c r="B7">
        <v>75.25</v>
      </c>
      <c r="C7">
        <v>0</v>
      </c>
      <c r="D7" t="s">
        <v>89</v>
      </c>
      <c r="E7" t="s">
        <v>90</v>
      </c>
      <c r="F7" t="s">
        <v>91</v>
      </c>
    </row>
    <row r="8" spans="1:6" x14ac:dyDescent="0.55000000000000004">
      <c r="A8">
        <v>5</v>
      </c>
      <c r="B8">
        <v>200</v>
      </c>
      <c r="C8">
        <v>0</v>
      </c>
      <c r="D8" t="s">
        <v>92</v>
      </c>
      <c r="E8" t="s">
        <v>93</v>
      </c>
      <c r="F8" t="s">
        <v>94</v>
      </c>
    </row>
    <row r="9" spans="1:6" x14ac:dyDescent="0.55000000000000004">
      <c r="A9">
        <v>5</v>
      </c>
      <c r="B9">
        <v>100</v>
      </c>
      <c r="C9">
        <v>0</v>
      </c>
      <c r="D9" t="s">
        <v>92</v>
      </c>
      <c r="E9" t="s">
        <v>93</v>
      </c>
      <c r="F9" t="s">
        <v>94</v>
      </c>
    </row>
    <row r="10" spans="1:6" x14ac:dyDescent="0.55000000000000004">
      <c r="A10">
        <v>6</v>
      </c>
      <c r="B10">
        <v>100</v>
      </c>
      <c r="C10">
        <v>0</v>
      </c>
      <c r="D10" t="s">
        <v>95</v>
      </c>
      <c r="E10" t="s">
        <v>96</v>
      </c>
      <c r="F10" t="s">
        <v>97</v>
      </c>
    </row>
    <row r="11" spans="1:6" x14ac:dyDescent="0.55000000000000004">
      <c r="A11">
        <v>6</v>
      </c>
      <c r="B11">
        <v>30</v>
      </c>
      <c r="C11">
        <v>5</v>
      </c>
      <c r="D11" t="s">
        <v>95</v>
      </c>
      <c r="E11" t="s">
        <v>96</v>
      </c>
      <c r="F11" t="s">
        <v>97</v>
      </c>
    </row>
    <row r="12" spans="1:6" x14ac:dyDescent="0.55000000000000004">
      <c r="A12">
        <v>7</v>
      </c>
      <c r="B12">
        <v>50</v>
      </c>
      <c r="C12">
        <v>0</v>
      </c>
      <c r="D12" t="s">
        <v>98</v>
      </c>
      <c r="E12" t="s">
        <v>99</v>
      </c>
      <c r="F12" t="s">
        <v>100</v>
      </c>
    </row>
    <row r="13" spans="1:6" x14ac:dyDescent="0.55000000000000004">
      <c r="A13">
        <v>7</v>
      </c>
      <c r="B13">
        <v>50</v>
      </c>
      <c r="C13">
        <v>0</v>
      </c>
      <c r="D13" t="s">
        <v>98</v>
      </c>
      <c r="E13" t="s">
        <v>99</v>
      </c>
      <c r="F13" t="s">
        <v>100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A5CA-6294-40D7-A7B4-D5A535AF61E3}">
  <sheetPr codeName="Sheet4"/>
  <dimension ref="A1:F8"/>
  <sheetViews>
    <sheetView workbookViewId="0"/>
  </sheetViews>
  <sheetFormatPr defaultRowHeight="14.4" x14ac:dyDescent="0.55000000000000004"/>
  <cols>
    <col min="1" max="1" width="9.3125" bestFit="1" customWidth="1"/>
    <col min="2" max="2" width="11.3125" bestFit="1" customWidth="1"/>
    <col min="3" max="3" width="4.7890625" bestFit="1" customWidth="1"/>
    <col min="4" max="5" width="12.9453125" bestFit="1" customWidth="1"/>
    <col min="6" max="6" width="9.9453125" bestFit="1" customWidth="1"/>
    <col min="7" max="7" width="12.578125" bestFit="1" customWidth="1"/>
    <col min="8" max="8" width="9.734375" bestFit="1" customWidth="1"/>
  </cols>
  <sheetData>
    <row r="1" spans="1:6" x14ac:dyDescent="0.55000000000000004">
      <c r="A1" s="1" t="s">
        <v>16</v>
      </c>
      <c r="B1" s="1" t="s">
        <v>15</v>
      </c>
      <c r="C1" s="1" t="s">
        <v>4</v>
      </c>
      <c r="D1" s="1" t="s">
        <v>13</v>
      </c>
      <c r="E1" s="1" t="s">
        <v>14</v>
      </c>
      <c r="F1" s="1" t="s">
        <v>39</v>
      </c>
    </row>
    <row r="2" spans="1:6" s="2" customFormat="1" x14ac:dyDescent="0.55000000000000004">
      <c r="A2" s="2" t="b">
        <v>0</v>
      </c>
      <c r="B2" s="3">
        <v>-100</v>
      </c>
      <c r="C2" s="2">
        <v>7</v>
      </c>
      <c r="D2" s="3">
        <v>0</v>
      </c>
      <c r="E2" s="3">
        <v>100</v>
      </c>
    </row>
    <row r="3" spans="1:6" x14ac:dyDescent="0.55000000000000004">
      <c r="A3" t="b">
        <v>1</v>
      </c>
      <c r="B3" s="4">
        <v>0</v>
      </c>
      <c r="C3">
        <v>1</v>
      </c>
      <c r="D3" s="4">
        <v>100</v>
      </c>
      <c r="E3" s="4">
        <v>100</v>
      </c>
      <c r="F3" t="s">
        <v>40</v>
      </c>
    </row>
    <row r="4" spans="1:6" x14ac:dyDescent="0.55000000000000004">
      <c r="A4" t="b">
        <v>1</v>
      </c>
      <c r="B4" s="4">
        <v>0</v>
      </c>
      <c r="C4">
        <v>2</v>
      </c>
      <c r="D4" s="4">
        <v>200</v>
      </c>
      <c r="E4" s="4">
        <v>200</v>
      </c>
      <c r="F4" t="s">
        <v>41</v>
      </c>
    </row>
    <row r="5" spans="1:6" x14ac:dyDescent="0.55000000000000004">
      <c r="A5" t="b">
        <v>1</v>
      </c>
      <c r="B5" s="4">
        <v>0</v>
      </c>
      <c r="C5">
        <v>3</v>
      </c>
      <c r="D5" s="4">
        <v>150.5</v>
      </c>
      <c r="E5" s="4">
        <v>150.5</v>
      </c>
      <c r="F5" t="s">
        <v>82</v>
      </c>
    </row>
    <row r="6" spans="1:6" x14ac:dyDescent="0.55000000000000004">
      <c r="A6" t="b">
        <v>1</v>
      </c>
      <c r="B6" s="4">
        <v>0</v>
      </c>
      <c r="C6">
        <v>4</v>
      </c>
      <c r="D6" s="4">
        <v>75.25</v>
      </c>
      <c r="E6" s="4">
        <v>75.25</v>
      </c>
      <c r="F6" t="s">
        <v>83</v>
      </c>
    </row>
    <row r="7" spans="1:6" x14ac:dyDescent="0.55000000000000004">
      <c r="A7" t="b">
        <v>1</v>
      </c>
      <c r="B7" s="4">
        <v>0</v>
      </c>
      <c r="C7">
        <v>5</v>
      </c>
      <c r="D7" s="4">
        <v>300</v>
      </c>
      <c r="E7" s="4">
        <v>300</v>
      </c>
      <c r="F7" t="s">
        <v>84</v>
      </c>
    </row>
    <row r="8" spans="1:6" x14ac:dyDescent="0.55000000000000004">
      <c r="A8" t="b">
        <v>1</v>
      </c>
      <c r="B8" s="4">
        <v>0</v>
      </c>
      <c r="C8">
        <v>6</v>
      </c>
      <c r="D8" s="4">
        <v>125</v>
      </c>
      <c r="E8" s="4">
        <v>125</v>
      </c>
      <c r="F8" t="s">
        <v>85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EDBBD-B84D-417A-9729-6F98C4BA5866}">
  <sheetPr codeName="Sheet5"/>
  <dimension ref="A1:I11"/>
  <sheetViews>
    <sheetView workbookViewId="0">
      <selection sqref="A1:I4"/>
    </sheetView>
  </sheetViews>
  <sheetFormatPr defaultRowHeight="14.4" x14ac:dyDescent="0.55000000000000004"/>
  <cols>
    <col min="1" max="1" width="4.7890625" bestFit="1" customWidth="1"/>
    <col min="2" max="2" width="11.5234375" bestFit="1" customWidth="1"/>
    <col min="3" max="3" width="12.7890625" bestFit="1" customWidth="1"/>
    <col min="4" max="4" width="8.578125" bestFit="1" customWidth="1"/>
    <col min="5" max="5" width="8.05078125" bestFit="1" customWidth="1"/>
    <col min="6" max="6" width="10.05078125" bestFit="1" customWidth="1"/>
    <col min="7" max="8" width="12.9453125" bestFit="1" customWidth="1"/>
    <col min="9" max="9" width="9.9453125" bestFit="1" customWidth="1"/>
  </cols>
  <sheetData>
    <row r="1" spans="1:9" x14ac:dyDescent="0.55000000000000004">
      <c r="A1" s="1" t="s">
        <v>4</v>
      </c>
      <c r="B1" s="1" t="s">
        <v>36</v>
      </c>
      <c r="C1" s="1" t="s">
        <v>37</v>
      </c>
      <c r="D1" s="1" t="s">
        <v>7</v>
      </c>
      <c r="E1" s="1" t="s">
        <v>8</v>
      </c>
      <c r="F1" s="1" t="s">
        <v>9</v>
      </c>
      <c r="G1" s="1" t="s">
        <v>13</v>
      </c>
      <c r="H1" s="1" t="s">
        <v>14</v>
      </c>
      <c r="I1" s="1" t="s">
        <v>39</v>
      </c>
    </row>
    <row r="2" spans="1:9" x14ac:dyDescent="0.55000000000000004">
      <c r="A2">
        <v>1</v>
      </c>
      <c r="B2">
        <v>100</v>
      </c>
      <c r="C2">
        <v>0</v>
      </c>
      <c r="D2" t="s">
        <v>10</v>
      </c>
      <c r="E2" t="s">
        <v>11</v>
      </c>
      <c r="F2" t="s">
        <v>12</v>
      </c>
      <c r="G2" s="4">
        <v>100</v>
      </c>
      <c r="H2" s="4">
        <v>100</v>
      </c>
      <c r="I2" t="s">
        <v>40</v>
      </c>
    </row>
    <row r="3" spans="1:9" x14ac:dyDescent="0.55000000000000004">
      <c r="A3">
        <v>2</v>
      </c>
      <c r="B3">
        <v>150</v>
      </c>
      <c r="C3">
        <v>0</v>
      </c>
      <c r="D3" t="s">
        <v>10</v>
      </c>
      <c r="E3" t="s">
        <v>11</v>
      </c>
      <c r="F3" t="s">
        <v>12</v>
      </c>
      <c r="G3" s="4">
        <v>200</v>
      </c>
      <c r="H3" s="4">
        <v>200</v>
      </c>
      <c r="I3" t="s">
        <v>41</v>
      </c>
    </row>
    <row r="4" spans="1:9" x14ac:dyDescent="0.55000000000000004">
      <c r="A4">
        <v>2</v>
      </c>
      <c r="B4">
        <v>50</v>
      </c>
      <c r="C4">
        <v>0</v>
      </c>
      <c r="D4" t="s">
        <v>10</v>
      </c>
      <c r="E4" t="s">
        <v>11</v>
      </c>
      <c r="F4" t="s">
        <v>12</v>
      </c>
      <c r="G4" s="4">
        <v>200</v>
      </c>
      <c r="H4" s="4">
        <v>200</v>
      </c>
      <c r="I4" t="s">
        <v>41</v>
      </c>
    </row>
    <row r="5" spans="1:9" x14ac:dyDescent="0.55000000000000004">
      <c r="A5">
        <v>3</v>
      </c>
      <c r="B5">
        <v>100.5</v>
      </c>
      <c r="C5">
        <v>0</v>
      </c>
      <c r="D5" t="s">
        <v>86</v>
      </c>
      <c r="E5" t="s">
        <v>87</v>
      </c>
      <c r="F5" t="s">
        <v>88</v>
      </c>
      <c r="G5" s="4">
        <v>150.5</v>
      </c>
      <c r="H5" s="4">
        <v>150.5</v>
      </c>
      <c r="I5" t="s">
        <v>82</v>
      </c>
    </row>
    <row r="6" spans="1:9" x14ac:dyDescent="0.55000000000000004">
      <c r="A6">
        <v>3</v>
      </c>
      <c r="B6">
        <v>50.02</v>
      </c>
      <c r="C6">
        <v>0.02</v>
      </c>
      <c r="D6" t="s">
        <v>86</v>
      </c>
      <c r="E6" t="s">
        <v>87</v>
      </c>
      <c r="F6" t="s">
        <v>88</v>
      </c>
      <c r="G6" s="4">
        <v>150.5</v>
      </c>
      <c r="H6" s="4">
        <v>150.5</v>
      </c>
      <c r="I6" t="s">
        <v>82</v>
      </c>
    </row>
    <row r="7" spans="1:9" x14ac:dyDescent="0.55000000000000004">
      <c r="A7">
        <v>4</v>
      </c>
      <c r="B7">
        <v>75.25</v>
      </c>
      <c r="C7">
        <v>0</v>
      </c>
      <c r="D7" t="s">
        <v>89</v>
      </c>
      <c r="E7" t="s">
        <v>90</v>
      </c>
      <c r="F7" t="s">
        <v>91</v>
      </c>
      <c r="G7" s="4">
        <v>75.25</v>
      </c>
      <c r="H7" s="4">
        <v>75.25</v>
      </c>
      <c r="I7" t="s">
        <v>83</v>
      </c>
    </row>
    <row r="8" spans="1:9" x14ac:dyDescent="0.55000000000000004">
      <c r="A8">
        <v>5</v>
      </c>
      <c r="B8">
        <v>200</v>
      </c>
      <c r="C8">
        <v>0</v>
      </c>
      <c r="D8" t="s">
        <v>92</v>
      </c>
      <c r="E8" t="s">
        <v>93</v>
      </c>
      <c r="F8" t="s">
        <v>94</v>
      </c>
      <c r="G8" s="4">
        <v>300</v>
      </c>
      <c r="H8" s="4">
        <v>300</v>
      </c>
      <c r="I8" t="s">
        <v>84</v>
      </c>
    </row>
    <row r="9" spans="1:9" x14ac:dyDescent="0.55000000000000004">
      <c r="A9">
        <v>5</v>
      </c>
      <c r="B9">
        <v>100</v>
      </c>
      <c r="C9">
        <v>0</v>
      </c>
      <c r="D9" t="s">
        <v>92</v>
      </c>
      <c r="E9" t="s">
        <v>93</v>
      </c>
      <c r="F9" t="s">
        <v>94</v>
      </c>
      <c r="G9" s="4">
        <v>300</v>
      </c>
      <c r="H9" s="4">
        <v>300</v>
      </c>
      <c r="I9" t="s">
        <v>84</v>
      </c>
    </row>
    <row r="10" spans="1:9" x14ac:dyDescent="0.55000000000000004">
      <c r="A10">
        <v>6</v>
      </c>
      <c r="B10">
        <v>100</v>
      </c>
      <c r="C10">
        <v>0</v>
      </c>
      <c r="D10" t="s">
        <v>95</v>
      </c>
      <c r="E10" t="s">
        <v>96</v>
      </c>
      <c r="F10" t="s">
        <v>97</v>
      </c>
      <c r="G10" s="4">
        <v>125</v>
      </c>
      <c r="H10" s="4">
        <v>125</v>
      </c>
      <c r="I10" t="s">
        <v>85</v>
      </c>
    </row>
    <row r="11" spans="1:9" x14ac:dyDescent="0.55000000000000004">
      <c r="A11">
        <v>6</v>
      </c>
      <c r="B11">
        <v>30</v>
      </c>
      <c r="C11">
        <v>5</v>
      </c>
      <c r="D11" t="s">
        <v>95</v>
      </c>
      <c r="E11" t="s">
        <v>96</v>
      </c>
      <c r="F11" t="s">
        <v>97</v>
      </c>
      <c r="G11" s="4">
        <v>125</v>
      </c>
      <c r="H11" s="4">
        <v>125</v>
      </c>
      <c r="I11" t="s">
        <v>85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F7205-CF76-4846-8913-77F23F7788F9}">
  <sheetPr codeName="Sheet6"/>
  <dimension ref="A1:E2"/>
  <sheetViews>
    <sheetView workbookViewId="0"/>
  </sheetViews>
  <sheetFormatPr defaultRowHeight="14.4" x14ac:dyDescent="0.55000000000000004"/>
  <cols>
    <col min="1" max="1" width="11.3125" bestFit="1" customWidth="1"/>
    <col min="2" max="2" width="4.7890625" bestFit="1" customWidth="1"/>
    <col min="3" max="4" width="12.9453125" bestFit="1" customWidth="1"/>
    <col min="5" max="5" width="9.9453125" bestFit="1" customWidth="1"/>
    <col min="6" max="6" width="12.578125" bestFit="1" customWidth="1"/>
    <col min="7" max="7" width="9.734375" bestFit="1" customWidth="1"/>
  </cols>
  <sheetData>
    <row r="1" spans="1:5" x14ac:dyDescent="0.55000000000000004">
      <c r="A1" s="1" t="s">
        <v>15</v>
      </c>
      <c r="B1" s="1" t="s">
        <v>4</v>
      </c>
      <c r="C1" s="1" t="s">
        <v>13</v>
      </c>
      <c r="D1" s="1" t="s">
        <v>14</v>
      </c>
      <c r="E1" s="1" t="s">
        <v>39</v>
      </c>
    </row>
    <row r="2" spans="1:5" s="2" customFormat="1" x14ac:dyDescent="0.55000000000000004">
      <c r="A2" s="3">
        <v>-100</v>
      </c>
      <c r="B2" s="2">
        <v>7</v>
      </c>
      <c r="C2" s="3">
        <v>0</v>
      </c>
      <c r="D2" s="3">
        <v>100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C9477-C23A-4CB8-8DA3-55E3CAA3ACD6}">
  <sheetPr codeName="Sheet9"/>
  <dimension ref="A1:E11"/>
  <sheetViews>
    <sheetView workbookViewId="0"/>
  </sheetViews>
  <sheetFormatPr defaultRowHeight="14.4" x14ac:dyDescent="0.55000000000000004"/>
  <cols>
    <col min="1" max="1" width="9.9453125" bestFit="1" customWidth="1"/>
    <col min="2" max="2" width="4.7890625" bestFit="1" customWidth="1"/>
    <col min="3" max="3" width="9.20703125" bestFit="1" customWidth="1"/>
    <col min="4" max="4" width="24.578125" bestFit="1" customWidth="1"/>
    <col min="5" max="5" width="8.89453125" bestFit="1" customWidth="1"/>
  </cols>
  <sheetData>
    <row r="1" spans="1:5" x14ac:dyDescent="0.55000000000000004">
      <c r="A1" t="s">
        <v>39</v>
      </c>
      <c r="B1" t="s">
        <v>4</v>
      </c>
      <c r="C1" t="s">
        <v>26</v>
      </c>
      <c r="D1" t="s">
        <v>32</v>
      </c>
      <c r="E1" t="s">
        <v>28</v>
      </c>
    </row>
    <row r="2" spans="1:5" x14ac:dyDescent="0.55000000000000004">
      <c r="A2" t="s">
        <v>40</v>
      </c>
      <c r="B2">
        <v>1</v>
      </c>
      <c r="C2">
        <v>100</v>
      </c>
      <c r="D2" t="s">
        <v>33</v>
      </c>
      <c r="E2" t="str">
        <f>IF(Table45[[#This Row],[Amount]]&gt;100,"HIGH","LOW")</f>
        <v>LOW</v>
      </c>
    </row>
    <row r="3" spans="1:5" x14ac:dyDescent="0.55000000000000004">
      <c r="A3" t="s">
        <v>41</v>
      </c>
      <c r="B3">
        <v>2</v>
      </c>
      <c r="C3">
        <v>200</v>
      </c>
      <c r="D3" t="s">
        <v>33</v>
      </c>
      <c r="E3" t="str">
        <f>IF(Table45[[#This Row],[Amount]]&gt;100,"HIGH","LOW")</f>
        <v>HIGH</v>
      </c>
    </row>
    <row r="4" spans="1:5" x14ac:dyDescent="0.55000000000000004">
      <c r="A4" t="s">
        <v>41</v>
      </c>
      <c r="B4">
        <v>2</v>
      </c>
      <c r="C4">
        <v>200</v>
      </c>
      <c r="D4" t="s">
        <v>33</v>
      </c>
      <c r="E4" t="str">
        <f>IF(Table45[[#This Row],[Amount]]&gt;100,"HIGH","LOW")</f>
        <v>HIGH</v>
      </c>
    </row>
    <row r="5" spans="1:5" x14ac:dyDescent="0.55000000000000004">
      <c r="A5" t="s">
        <v>82</v>
      </c>
      <c r="B5">
        <v>3</v>
      </c>
      <c r="C5">
        <v>150.5</v>
      </c>
      <c r="D5" t="s">
        <v>33</v>
      </c>
      <c r="E5" t="str">
        <f>IF(Table45[[#This Row],[Amount]]&gt;100,"HIGH","LOW")</f>
        <v>HIGH</v>
      </c>
    </row>
    <row r="6" spans="1:5" x14ac:dyDescent="0.55000000000000004">
      <c r="A6" t="s">
        <v>82</v>
      </c>
      <c r="B6">
        <v>3</v>
      </c>
      <c r="C6">
        <v>150.5</v>
      </c>
      <c r="D6" t="s">
        <v>33</v>
      </c>
      <c r="E6" t="str">
        <f>IF(Table45[[#This Row],[Amount]]&gt;100,"HIGH","LOW")</f>
        <v>HIGH</v>
      </c>
    </row>
    <row r="7" spans="1:5" x14ac:dyDescent="0.55000000000000004">
      <c r="A7" t="s">
        <v>83</v>
      </c>
      <c r="B7">
        <v>4</v>
      </c>
      <c r="C7">
        <v>75.25</v>
      </c>
      <c r="D7" t="s">
        <v>33</v>
      </c>
      <c r="E7" t="str">
        <f>IF(Table45[[#This Row],[Amount]]&gt;100,"HIGH","LOW")</f>
        <v>LOW</v>
      </c>
    </row>
    <row r="8" spans="1:5" x14ac:dyDescent="0.55000000000000004">
      <c r="A8" t="s">
        <v>84</v>
      </c>
      <c r="B8">
        <v>5</v>
      </c>
      <c r="C8">
        <v>300</v>
      </c>
      <c r="D8" t="s">
        <v>33</v>
      </c>
      <c r="E8" t="str">
        <f>IF(Table45[[#This Row],[Amount]]&gt;100,"HIGH","LOW")</f>
        <v>HIGH</v>
      </c>
    </row>
    <row r="9" spans="1:5" x14ac:dyDescent="0.55000000000000004">
      <c r="A9" t="s">
        <v>84</v>
      </c>
      <c r="B9">
        <v>5</v>
      </c>
      <c r="C9">
        <v>300</v>
      </c>
      <c r="D9" t="s">
        <v>33</v>
      </c>
      <c r="E9" t="str">
        <f>IF(Table45[[#This Row],[Amount]]&gt;100,"HIGH","LOW")</f>
        <v>HIGH</v>
      </c>
    </row>
    <row r="10" spans="1:5" x14ac:dyDescent="0.55000000000000004">
      <c r="A10" t="s">
        <v>85</v>
      </c>
      <c r="B10">
        <v>6</v>
      </c>
      <c r="C10">
        <v>125</v>
      </c>
      <c r="D10" t="s">
        <v>33</v>
      </c>
      <c r="E10" t="str">
        <f>IF(Table45[[#This Row],[Amount]]&gt;100,"HIGH","LOW")</f>
        <v>HIGH</v>
      </c>
    </row>
    <row r="11" spans="1:5" x14ac:dyDescent="0.55000000000000004">
      <c r="A11" t="s">
        <v>85</v>
      </c>
      <c r="B11">
        <v>6</v>
      </c>
      <c r="C11">
        <v>125</v>
      </c>
      <c r="D11" t="s">
        <v>33</v>
      </c>
      <c r="E11" t="str">
        <f>IF(Table45[[#This Row],[Amount]]&gt;100,"HIGH","LOW")</f>
        <v>HIGH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DE236-9D82-4BF2-A83A-2286F185BE0B}">
  <sheetPr codeName="Sheet13"/>
  <dimension ref="A1:I6"/>
  <sheetViews>
    <sheetView workbookViewId="0">
      <selection activeCell="G1" sqref="G1"/>
    </sheetView>
  </sheetViews>
  <sheetFormatPr defaultRowHeight="14.4" x14ac:dyDescent="0.55000000000000004"/>
  <cols>
    <col min="1" max="1" width="10.20703125" bestFit="1" customWidth="1"/>
    <col min="2" max="2" width="8.3671875" bestFit="1" customWidth="1"/>
    <col min="3" max="3" width="12.578125" bestFit="1" customWidth="1"/>
    <col min="4" max="4" width="13.734375" bestFit="1" customWidth="1"/>
    <col min="5" max="5" width="8.578125" bestFit="1" customWidth="1"/>
    <col min="6" max="7" width="12.9453125" bestFit="1" customWidth="1"/>
    <col min="8" max="8" width="11.3125" bestFit="1" customWidth="1"/>
  </cols>
  <sheetData>
    <row r="1" spans="1:9" x14ac:dyDescent="0.55000000000000004">
      <c r="A1" t="s">
        <v>46</v>
      </c>
      <c r="B1" t="s">
        <v>75</v>
      </c>
      <c r="C1" t="s">
        <v>76</v>
      </c>
      <c r="D1" t="s">
        <v>77</v>
      </c>
      <c r="E1" t="s">
        <v>24</v>
      </c>
      <c r="F1" t="s">
        <v>13</v>
      </c>
      <c r="G1" t="s">
        <v>14</v>
      </c>
      <c r="H1" t="s">
        <v>15</v>
      </c>
      <c r="I1" t="s">
        <v>78</v>
      </c>
    </row>
    <row r="2" spans="1:9" x14ac:dyDescent="0.55000000000000004">
      <c r="B2" t="s">
        <v>101</v>
      </c>
      <c r="C2" t="s">
        <v>102</v>
      </c>
      <c r="F2">
        <v>250</v>
      </c>
      <c r="G2">
        <v>250</v>
      </c>
      <c r="I2" t="str">
        <f>IF(ABS(Table20[[#This Row],[Difference]])&lt;0.02,"OK","REVIEW")</f>
        <v>OK</v>
      </c>
    </row>
    <row r="3" spans="1:9" x14ac:dyDescent="0.55000000000000004">
      <c r="B3" t="s">
        <v>103</v>
      </c>
      <c r="C3" t="s">
        <v>104</v>
      </c>
      <c r="F3">
        <v>200</v>
      </c>
      <c r="G3">
        <v>200</v>
      </c>
    </row>
    <row r="4" spans="1:9" x14ac:dyDescent="0.55000000000000004">
      <c r="B4" t="s">
        <v>101</v>
      </c>
      <c r="C4" t="s">
        <v>102</v>
      </c>
      <c r="F4">
        <v>150.5</v>
      </c>
      <c r="G4">
        <v>150.5</v>
      </c>
    </row>
    <row r="5" spans="1:9" x14ac:dyDescent="0.55000000000000004">
      <c r="B5" t="s">
        <v>105</v>
      </c>
      <c r="C5" t="s">
        <v>106</v>
      </c>
      <c r="F5">
        <v>500</v>
      </c>
      <c r="G5">
        <v>500</v>
      </c>
    </row>
    <row r="6" spans="1:9" x14ac:dyDescent="0.55000000000000004">
      <c r="B6" t="s">
        <v>107</v>
      </c>
      <c r="C6" t="s">
        <v>108</v>
      </c>
      <c r="F6">
        <v>125</v>
      </c>
      <c r="G6">
        <v>125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12"/>
  <sheetViews>
    <sheetView tabSelected="1" workbookViewId="0">
      <selection activeCell="A12" sqref="A12"/>
    </sheetView>
  </sheetViews>
  <sheetFormatPr defaultRowHeight="14.4" x14ac:dyDescent="0.55000000000000004"/>
  <cols>
    <col min="1" max="1" width="17.3671875" style="6" bestFit="1" customWidth="1"/>
    <col min="2" max="2" width="12.578125" style="6" bestFit="1" customWidth="1"/>
    <col min="3" max="3" width="10.5234375" style="6" bestFit="1" customWidth="1"/>
    <col min="4" max="4" width="67.7890625" style="6" bestFit="1" customWidth="1"/>
    <col min="5" max="5" width="8.15625" style="6" bestFit="1" customWidth="1"/>
    <col min="6" max="6" width="9.5234375" style="6" bestFit="1" customWidth="1"/>
    <col min="7" max="7" width="6.68359375" style="6" bestFit="1" customWidth="1"/>
    <col min="8" max="16384" width="8.83984375" style="6"/>
  </cols>
  <sheetData>
    <row r="1" spans="1:7" x14ac:dyDescent="0.55000000000000004">
      <c r="A1" s="5" t="s">
        <v>109</v>
      </c>
      <c r="B1" s="5" t="s">
        <v>113</v>
      </c>
      <c r="C1" s="5" t="s">
        <v>110</v>
      </c>
      <c r="D1" s="5" t="s">
        <v>114</v>
      </c>
      <c r="E1" s="5" t="s">
        <v>78</v>
      </c>
      <c r="F1" s="5" t="s">
        <v>115</v>
      </c>
      <c r="G1" s="5" t="s">
        <v>111</v>
      </c>
    </row>
    <row r="2" spans="1:7" x14ac:dyDescent="0.55000000000000004">
      <c r="A2" s="7">
        <v>46066.496712962966</v>
      </c>
      <c r="B2" s="5" t="s">
        <v>116</v>
      </c>
      <c r="C2" s="5" t="s">
        <v>117</v>
      </c>
      <c r="D2" s="5" t="s">
        <v>118</v>
      </c>
      <c r="E2" s="5" t="s">
        <v>119</v>
      </c>
      <c r="F2" s="5">
        <v>6</v>
      </c>
      <c r="G2" s="5" t="s">
        <v>112</v>
      </c>
    </row>
    <row r="3" spans="1:7" x14ac:dyDescent="0.55000000000000004">
      <c r="A3" s="7">
        <v>46066.49690972222</v>
      </c>
      <c r="B3" s="5" t="s">
        <v>116</v>
      </c>
      <c r="C3" s="5" t="s">
        <v>117</v>
      </c>
      <c r="D3" s="5" t="s">
        <v>120</v>
      </c>
      <c r="E3" s="5" t="s">
        <v>119</v>
      </c>
      <c r="F3" s="5">
        <v>12</v>
      </c>
      <c r="G3" s="5" t="s">
        <v>112</v>
      </c>
    </row>
    <row r="4" spans="1:7" x14ac:dyDescent="0.55000000000000004">
      <c r="A4" s="7">
        <v>46066.497071759259</v>
      </c>
      <c r="B4" s="5" t="s">
        <v>121</v>
      </c>
      <c r="C4" s="5" t="s">
        <v>58</v>
      </c>
      <c r="D4" s="5" t="s">
        <v>122</v>
      </c>
      <c r="E4" s="5" t="s">
        <v>119</v>
      </c>
      <c r="F4" s="5">
        <v>7</v>
      </c>
      <c r="G4" s="5" t="s">
        <v>112</v>
      </c>
    </row>
    <row r="5" spans="1:7" x14ac:dyDescent="0.55000000000000004">
      <c r="A5" s="7">
        <v>46066.497210648151</v>
      </c>
      <c r="B5" s="5" t="s">
        <v>123</v>
      </c>
      <c r="C5" s="5" t="s">
        <v>58</v>
      </c>
      <c r="D5" s="5" t="s">
        <v>124</v>
      </c>
      <c r="E5" s="5" t="s">
        <v>119</v>
      </c>
      <c r="F5" s="5">
        <v>10</v>
      </c>
      <c r="G5" s="5" t="s">
        <v>112</v>
      </c>
    </row>
    <row r="6" spans="1:7" x14ac:dyDescent="0.55000000000000004">
      <c r="A6" s="7">
        <v>46066.502638888887</v>
      </c>
      <c r="B6" s="5" t="s">
        <v>116</v>
      </c>
      <c r="C6" s="5" t="s">
        <v>117</v>
      </c>
      <c r="D6" s="5" t="s">
        <v>118</v>
      </c>
      <c r="E6" s="5" t="s">
        <v>119</v>
      </c>
      <c r="F6" s="5">
        <v>6</v>
      </c>
      <c r="G6" s="5" t="s">
        <v>112</v>
      </c>
    </row>
    <row r="7" spans="1:7" x14ac:dyDescent="0.55000000000000004">
      <c r="A7" s="7">
        <v>46066.502789351849</v>
      </c>
      <c r="B7" s="5" t="s">
        <v>116</v>
      </c>
      <c r="C7" s="5" t="s">
        <v>117</v>
      </c>
      <c r="D7" s="5" t="s">
        <v>120</v>
      </c>
      <c r="E7" s="5" t="s">
        <v>119</v>
      </c>
      <c r="F7" s="5">
        <v>12</v>
      </c>
      <c r="G7" s="5" t="s">
        <v>112</v>
      </c>
    </row>
    <row r="8" spans="1:7" x14ac:dyDescent="0.55000000000000004">
      <c r="A8" s="7">
        <v>46066.50304398148</v>
      </c>
      <c r="B8" s="5" t="s">
        <v>121</v>
      </c>
      <c r="C8" s="5" t="s">
        <v>58</v>
      </c>
      <c r="D8" s="5" t="s">
        <v>122</v>
      </c>
      <c r="E8" s="5" t="s">
        <v>119</v>
      </c>
      <c r="F8" s="5">
        <v>7</v>
      </c>
      <c r="G8" s="5" t="s">
        <v>112</v>
      </c>
    </row>
    <row r="9" spans="1:7" x14ac:dyDescent="0.55000000000000004">
      <c r="A9" s="7">
        <v>46066.525462962964</v>
      </c>
      <c r="B9" s="5" t="s">
        <v>116</v>
      </c>
      <c r="C9" s="5" t="s">
        <v>117</v>
      </c>
      <c r="D9" s="5" t="s">
        <v>118</v>
      </c>
      <c r="E9" s="5" t="s">
        <v>119</v>
      </c>
      <c r="F9" s="5">
        <v>6</v>
      </c>
      <c r="G9" s="5" t="s">
        <v>112</v>
      </c>
    </row>
    <row r="10" spans="1:7" x14ac:dyDescent="0.55000000000000004">
      <c r="A10" s="7">
        <v>46066.525578703702</v>
      </c>
      <c r="B10" s="5" t="s">
        <v>116</v>
      </c>
      <c r="C10" s="5" t="s">
        <v>117</v>
      </c>
      <c r="D10" s="5" t="s">
        <v>120</v>
      </c>
      <c r="E10" s="5" t="s">
        <v>119</v>
      </c>
      <c r="F10" s="5">
        <v>12</v>
      </c>
      <c r="G10" s="5" t="s">
        <v>112</v>
      </c>
    </row>
    <row r="11" spans="1:7" x14ac:dyDescent="0.55000000000000004">
      <c r="A11" s="7">
        <v>46066.525601851848</v>
      </c>
      <c r="B11" s="5" t="s">
        <v>121</v>
      </c>
      <c r="C11" s="5" t="s">
        <v>58</v>
      </c>
      <c r="D11" s="5" t="s">
        <v>122</v>
      </c>
      <c r="E11" s="5" t="s">
        <v>119</v>
      </c>
      <c r="F11" s="5">
        <v>7</v>
      </c>
      <c r="G11" s="5" t="s">
        <v>112</v>
      </c>
    </row>
    <row r="12" spans="1:7" x14ac:dyDescent="0.55000000000000004">
      <c r="A12" s="7">
        <v>46066.525636574072</v>
      </c>
      <c r="B12" s="5" t="s">
        <v>123</v>
      </c>
      <c r="C12" s="5" t="s">
        <v>58</v>
      </c>
      <c r="D12" s="5" t="s">
        <v>124</v>
      </c>
      <c r="E12" s="5" t="s">
        <v>119</v>
      </c>
      <c r="F12" s="5">
        <v>10</v>
      </c>
      <c r="G12" s="5" t="s">
        <v>112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Backlog</vt:lpstr>
      <vt:lpstr>Workflows</vt:lpstr>
      <vt:lpstr>Recon Config</vt:lpstr>
      <vt:lpstr>Recon Config - Summary</vt:lpstr>
      <vt:lpstr>Transform Config</vt:lpstr>
      <vt:lpstr>Transform Config - Summary</vt:lpstr>
      <vt:lpstr>Sheet1</vt:lpstr>
      <vt:lpstr>Sheet2</vt:lpstr>
      <vt:lpstr>All Results</vt:lpstr>
      <vt:lpstr>Match Results</vt:lpstr>
      <vt:lpstr>Error Results</vt:lpstr>
      <vt:lpstr>Export</vt:lpstr>
      <vt:lpstr>Summary Export</vt:lpstr>
      <vt:lpstr>Activity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2026-02-13T18:54:25Z</dcterms:modified>
</cp:coreProperties>
</file>