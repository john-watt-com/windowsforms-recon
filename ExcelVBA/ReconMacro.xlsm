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3885" documentId="8_{02591AEE-AA27-4992-A490-F4BCF6A95374}" xr6:coauthVersionLast="47" xr6:coauthVersionMax="47" xr10:uidLastSave="{4BF3016B-EEBC-47C2-8256-2870780E4475}"/>
  <bookViews>
    <workbookView xWindow="-96" yWindow="-96" windowWidth="23232" windowHeight="13872" tabRatio="901" activeTab="11" xr2:uid="{713D0E20-2510-4F46-8450-E6CC1A43B8CC}"/>
  </bookViews>
  <sheets>
    <sheet name="Backlog" sheetId="11" r:id="rId1"/>
    <sheet name="Workflows" sheetId="12" r:id="rId2"/>
    <sheet name="Recon Config" sheetId="1" r:id="rId3"/>
    <sheet name="Transform Config" sheetId="8" r:id="rId4"/>
    <sheet name="Recon Config - Summary" sheetId="13" state="hidden" r:id="rId5"/>
    <sheet name="Sheet1" sheetId="3" r:id="rId6"/>
    <sheet name="Sheet2" sheetId="2" r:id="rId7"/>
    <sheet name="Activity Log" sheetId="18" r:id="rId8"/>
    <sheet name="Fee All Results" sheetId="25" r:id="rId9"/>
    <sheet name="Fee Match Results" sheetId="26" r:id="rId10"/>
    <sheet name="Fee Error Results" sheetId="27" r:id="rId11"/>
    <sheet name="Fee Upload Ready" sheetId="28" r:id="rId12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H3" i="28"/>
  <c r="H4" i="28"/>
  <c r="H5" i="28"/>
  <c r="H6" i="28"/>
  <c r="H7" i="28"/>
  <c r="H8" i="28"/>
  <c r="H9" i="28"/>
  <c r="G2" i="28"/>
  <c r="G3" i="28"/>
  <c r="G4" i="28"/>
  <c r="G5" i="28"/>
  <c r="G6" i="28"/>
  <c r="G7" i="28"/>
  <c r="G8" i="28"/>
  <c r="G9" i="28"/>
  <c r="D14" i="8"/>
  <c r="D16" i="8"/>
</calcChain>
</file>

<file path=xl/sharedStrings.xml><?xml version="1.0" encoding="utf-8"?>
<sst xmlns="http://schemas.openxmlformats.org/spreadsheetml/2006/main" count="1236" uniqueCount="169">
  <si>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</si>
  <si>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</si>
  <si>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</si>
  <si>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</si>
  <si>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</si>
  <si>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</si>
  <si>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</si>
  <si>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</si>
  <si>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</si>
  <si>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</si>
  <si>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</si>
  <si>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</si>
  <si>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</si>
  <si>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</si>
  <si>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</si>
  <si>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</si>
  <si>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</si>
  <si>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</si>
  <si>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</si>
  <si>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</si>
  <si>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</si>
  <si>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</si>
  <si>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</si>
  <si>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</si>
  <si>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</si>
  <si>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</si>
  <si>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</si>
  <si>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</si>
  <si>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</si>
  <si>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</si>
  <si>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</si>
  <si>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</si>
  <si>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</si>
  <si>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</si>
  <si>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</si>
  <si>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</si>
  <si>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</si>
  <si>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</si>
  <si>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</si>
  <si>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</si>
  <si>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</si>
  <si>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</si>
  <si>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</si>
  <si>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</si>
  <si>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</si>
  <si>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</si>
  <si>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</si>
  <si>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</si>
  <si>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</si>
  <si>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</si>
  <si>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</si>
  <si>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</si>
  <si>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</si>
  <si>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</si>
  <si>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</si>
  <si>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</si>
  <si>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</si>
  <si>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</si>
  <si>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</si>
  <si>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</si>
  <si>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</si>
  <si>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</si>
  <si>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</si>
  <si>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</si>
  <si>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</si>
  <si>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</si>
  <si>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</si>
  <si>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</si>
  <si>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</si>
  <si>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</si>
  <si>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</si>
  <si>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</si>
  <si>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</si>
  <si>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</si>
  <si>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</si>
  <si>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</si>
  <si>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</si>
  <si>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</si>
  <si>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</si>
  <si>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</si>
  <si>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</si>
  <si>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</si>
  <si>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</si>
  <si>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</si>
  <si>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</si>
  <si>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</si>
  <si>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</si>
  <si>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</si>
  <si>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</si>
  <si>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</si>
  <si>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</si>
  <si>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</si>
  <si>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</si>
  <si>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</si>
  <si>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</si>
  <si>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</si>
  <si>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</si>
  <si>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</si>
  <si>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</si>
  <si>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</si>
  <si>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</si>
  <si>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</si>
  <si>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</si>
  <si>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</si>
  <si>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</si>
  <si>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</si>
  <si>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</si>
  <si>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</si>
  <si>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</si>
  <si>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</si>
  <si>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</si>
  <si>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</si>
  <si>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</si>
  <si>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</si>
  <si>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</si>
  <si>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</si>
  <si>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</si>
  <si>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</si>
  <si>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</si>
  <si>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</si>
  <si>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</si>
  <si>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</si>
  <si>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</si>
  <si>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</si>
  <si>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</si>
  <si>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</si>
  <si>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</si>
  <si>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</si>
  <si>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</si>
  <si>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</si>
  <si>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</si>
  <si>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</si>
  <si>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</si>
  <si>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</si>
  <si>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</si>
  <si>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</si>
  <si>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</si>
  <si>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</si>
  <si>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</si>
  <si>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</si>
  <si>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</si>
  <si>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</si>
  <si>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</si>
  <si>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</si>
  <si>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</si>
  <si>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</si>
  <si>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</si>
  <si>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</si>
  <si>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</si>
  <si>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</si>
  <si>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</si>
  <si>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</si>
  <si>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</si>
  <si>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</si>
  <si>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</si>
  <si>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</si>
  <si>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</si>
  <si>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</si>
  <si>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</si>
  <si>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</si>
  <si>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</si>
  <si>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</si>
  <si>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</si>
  <si>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</si>
  <si>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>Add Save Upload functionality</t>
  </si>
  <si>
    <t xml:space="preserve">Turn it into one continuous process. Checkboxes? </t>
  </si>
  <si>
    <t>Defaults</t>
  </si>
  <si>
    <t>Code cleanup</t>
  </si>
  <si>
    <t>MessageBox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</si>
</sst>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30">
    <dxf>
      <numFmt numFmtId="0" formatCode="General"/>
    </dxf>
    <dxf>
      <numFmt numFmtId="0" formatCode="General"/>
    </dxf>
    <dxf>
      <numFmt numFmtId="19" formatCode="m/d/yyyy"/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64" formatCode="yyyy\-mm\-dd\ hh:mm:ss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0</xdr:rowOff>
        </xdr:from>
        <xdr:to>
          <xdr:col>4</xdr:col>
          <xdr:colOff>594360</xdr:colOff>
          <xdr:row>0</xdr:row>
          <xdr:rowOff>179070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529590</xdr:colOff>
          <xdr:row>0</xdr:row>
          <xdr:rowOff>45720</xdr:rowOff>
        </xdr:from>
        <xdr:to>
          <xdr:col>3</xdr:col>
          <xdr:colOff>971550</xdr:colOff>
          <xdr:row>1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36" totalsRowShown="0">
  <autoFilter ref="A1:C36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B6" totalsRowShown="0">
  <autoFilter ref="A1:B6" xr:uid="{85EB16AA-57F4-4622-8079-5D312F1B0EB3}"/>
  <tableColumns count="2"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8:D16" totalsRowShown="0">
  <autoFilter ref="A8:D16" xr:uid="{651A816C-C219-4F0E-B0DD-95DBF3AFD133}"/>
  <tableColumns count="4"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55" totalsRowShown="0" headerRowDxfId="29" dataDxfId="28">
  <autoFilter ref="A1:G155" xr:uid="{DB7B2E8A-BF7A-4C0E-AAE0-978BC32CA210}"/>
  <tableColumns count="7">
    <tableColumn id="1" xr3:uid="{86057603-0B59-4727-B9F1-402FC57F3ADD}" name="Timestamp" dataDxfId="27"/>
    <tableColumn id="2" xr3:uid="{407CBD76-E900-4369-B500-2462E84AD2F2}" name="Operation" dataDxfId="26"/>
    <tableColumn id="3" xr3:uid="{0F131029-F39E-4AC2-B463-D1D9E5626947}" name="Workflow" dataDxfId="25"/>
    <tableColumn id="4" xr3:uid="{D5CE1952-DF24-4666-B97F-4075EE416DB3}" name="Details" dataDxfId="24"/>
    <tableColumn id="5" xr3:uid="{543A8991-CDDC-4C9E-B81B-17ECAEB28DFE}" name="Status" dataDxfId="23"/>
    <tableColumn id="6" xr3:uid="{CF2B62BD-8429-4C59-A817-109A9F6D4BBB}" name="Records" dataDxfId="22"/>
    <tableColumn id="7" xr3:uid="{3F5609B9-709E-4A2A-8885-1708EF552567}" name="User" dataDxfId="2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852F27BC-94F3-4C9B-9D9A-670DD2EAD97B}" name="ReconResultsTable" displayName="ReconResultsTable" ref="A1:F9" totalsRowShown="0" headerRowDxfId="20" dataDxfId="19">
  <autoFilter ref="A1:F9" xr:uid="{852F27BC-94F3-4C9B-9D9A-670DD2EAD97B}"/>
  <tableColumns count="6">
    <tableColumn id="1" xr3:uid="{39CAD050-BD0C-4578-A681-E692B964CD9B}" name="IsMatch" dataDxfId="18"/>
    <tableColumn id="2" xr3:uid="{AF10BB7F-142F-4015-8D31-D76113C429D7}" name="Difference" dataDxfId="17"/>
    <tableColumn id="3" xr3:uid="{42AA2188-0DC6-4DF8-9343-D16536CDF1B9}" name="ID" dataDxfId="16"/>
    <tableColumn id="4" xr3:uid="{E2904041-C15F-4E29-9A5D-551A14279625}" name="Sheet1 Total" dataDxfId="15"/>
    <tableColumn id="5" xr3:uid="{D0BF8D89-4FD9-4FC8-B6A6-75A6FEE1A148}" name="Sheet2 Total" dataDxfId="14"/>
    <tableColumn id="6" xr3:uid="{3905E710-3D9A-4662-A37C-2F585E4A1E23}" name="AccountName" dataDxf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E2E05673-665D-4526-A640-1A83E2A21397}" name="MatchResultsTable" displayName="MatchResultsTable" ref="A1:F9" totalsRowShown="0" headerRowDxfId="12">
  <autoFilter ref="A1:F9" xr:uid="{E2E05673-665D-4526-A640-1A83E2A21397}"/>
  <tableColumns count="6">
    <tableColumn id="1" xr3:uid="{8FAAC174-AFBE-4187-B506-7F343AD19A5A}" name="ID"/>
    <tableColumn id="2" xr3:uid="{56EF8C38-BB46-404B-973C-C8B66E54B380}" name="Type"/>
    <tableColumn id="3" xr3:uid="{14070525-30C5-4F35-B7FD-E56F54E7B6D5}" name="Amount"/>
    <tableColumn id="4" xr3:uid="{F3C3B1E3-D082-49E7-BCAF-D9C65B455D1C}" name="Sheet1 Total" dataDxfId="11"/>
    <tableColumn id="5" xr3:uid="{059D2193-002F-4BEB-9E52-B9CDA41D5D9A}" name="Sheet2 Total" dataDxfId="10"/>
    <tableColumn id="6" xr3:uid="{5A7D1EBB-C6AF-4885-9EF4-A10A7267F139}" name="AccountName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D10E26D6-BEEF-47E6-9A4F-4ED742B8DB84}" name="ErrorResultsTable" displayName="ErrorResultsTable" ref="A1:E5" totalsRowShown="0" headerRowDxfId="9" dataDxfId="8">
  <autoFilter ref="A1:E5" xr:uid="{D10E26D6-BEEF-47E6-9A4F-4ED742B8DB84}"/>
  <tableColumns count="5">
    <tableColumn id="1" xr3:uid="{1C1A26FF-91EB-42F6-8C54-118AEEB0206E}" name="Difference" dataDxfId="7"/>
    <tableColumn id="2" xr3:uid="{B572A60D-0D08-4CA6-B938-67C1C4FAA022}" name="ID" dataDxfId="6"/>
    <tableColumn id="3" xr3:uid="{A2E78B60-F475-4111-B7E9-807147622EB4}" name="Sheet1 Total" dataDxfId="5"/>
    <tableColumn id="4" xr3:uid="{70C9EDEB-3ED1-485F-A271-61A03EE124F1}" name="Sheet2 Total" dataDxfId="4"/>
    <tableColumn id="5" xr3:uid="{7CFC951A-A93B-4A91-A635-0B6E96D23972}" name="AccountName" dataDxfId="3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A6C9CC16-C9FF-420A-B5CD-139BFEFF46DF}" name="Table131" displayName="Table131" ref="A1:H9" totalsRowShown="0">
  <autoFilter ref="A1:H9" xr:uid="{A6C9CC16-C9FF-420A-B5CD-139BFEFF46DF}"/>
  <tableColumns count="8">
    <tableColumn id="1" xr3:uid="{A4D7D27B-A57E-461E-960B-264D3FD07BB6}" name="Account ID"/>
    <tableColumn id="2" xr3:uid="{4C6593D4-0DD7-4A84-8CFC-D69D295115CD}" name="Account Name"/>
    <tableColumn id="3" xr3:uid="{8E3EE4F8-6030-4E6D-A6C6-F10D0E2228EB}" name="Transaction Type"/>
    <tableColumn id="4" xr3:uid="{64A5D25C-D75E-4DC1-A2D3-B25DAE09CD71}" name="Amount"/>
    <tableColumn id="5" xr3:uid="{14B92E57-ED6C-4303-94A6-39E0C982065F}" name="Currency"/>
    <tableColumn id="6" xr3:uid="{0B72761C-C077-4D7F-9AD3-CAF896264426}" name="Processing Date" dataDxfId="2"/>
    <tableColumn id="7" xr3:uid="{23514477-1C36-4FD4-88E7-F0F028F23DE5}" name="Net Amount" dataDxfId="1">
      <calculatedColumnFormula>Table131[[#This Row],[Amount]]*0.98</calculatedColumnFormula>
    </tableColumn>
    <tableColumn id="8" xr3:uid="{7DA55B8C-0726-4561-96C0-95239F3B9E8F}" name="Upload Batch" dataDxfId="0">
      <calculatedColumnFormula>20260214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7"/>
  <sheetViews>
    <sheetView workbookViewId="0">
      <selection activeCell="A8" sqref="A8"/>
    </sheetView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163</v>
      </c>
    </row>
    <row r="2" spans="1:1" x14ac:dyDescent="0.55000000000000004">
      <c r="A2" t="s">
        <v>18</v>
      </c>
    </row>
    <row r="3" spans="1:1" x14ac:dyDescent="0.55000000000000004">
      <c r="A3" t="s">
        <v>164</v>
      </c>
    </row>
    <row r="4" spans="1:1" x14ac:dyDescent="0.55000000000000004">
      <c r="A4" t="s">
        <v>165</v>
      </c>
    </row>
    <row r="5" spans="1:1" x14ac:dyDescent="0.55000000000000004">
      <c r="A5" t="s">
        <v>166</v>
      </c>
    </row>
    <row r="6" spans="1:1" x14ac:dyDescent="0.55000000000000004">
      <c r="A6" t="s">
        <v>167</v>
      </c>
    </row>
    <row r="7" spans="1:1" x14ac:dyDescent="0.55000000000000004">
      <c r="A7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4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34"/>
  <sheetViews>
    <sheetView workbookViewId="0">
      <pane ySplit="1" topLeftCell="A2" activePane="bottomLeft" state="frozen"/>
      <selection pane="bottomLeft" activeCell="E5" sqref="E5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0.01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0</xdr:rowOff>
                  </from>
                  <to>
                    <xdr:col>4</xdr:col>
                    <xdr:colOff>594360</xdr:colOff>
                    <xdr:row>0</xdr:row>
                    <xdr:rowOff>179070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16"/>
  <sheetViews>
    <sheetView workbookViewId="0">
      <selection activeCell="A2" sqref="A2:XFD3"/>
    </sheetView>
  </sheetViews>
  <sheetFormatPr defaultRowHeight="14.4" x14ac:dyDescent="0.55000000000000004"/>
  <cols>
    <col min="1" max="1" width="13.62890625" bestFit="1" customWidth="1"/>
    <col min="2" max="2" width="2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2</v>
      </c>
      <c r="B1" t="s">
        <v>1</v>
      </c>
    </row>
    <row r="2" spans="1:4" x14ac:dyDescent="0.55000000000000004">
      <c r="A2" t="s">
        <v>99</v>
      </c>
      <c r="B2" t="s">
        <v>100</v>
      </c>
    </row>
    <row r="3" spans="1:4" x14ac:dyDescent="0.55000000000000004">
      <c r="A3" t="s">
        <v>7</v>
      </c>
      <c r="B3" t="s">
        <v>14</v>
      </c>
    </row>
    <row r="4" spans="1:4" x14ac:dyDescent="0.55000000000000004">
      <c r="A4" t="s">
        <v>8</v>
      </c>
      <c r="B4" t="s">
        <v>101</v>
      </c>
    </row>
    <row r="5" spans="1:4" x14ac:dyDescent="0.55000000000000004">
      <c r="A5" t="s">
        <v>102</v>
      </c>
    </row>
    <row r="6" spans="1:4" x14ac:dyDescent="0.55000000000000004">
      <c r="A6" t="s">
        <v>16</v>
      </c>
      <c r="B6" t="s">
        <v>103</v>
      </c>
    </row>
    <row r="8" spans="1:4" x14ac:dyDescent="0.55000000000000004">
      <c r="A8" t="s">
        <v>9</v>
      </c>
      <c r="B8" t="s">
        <v>10</v>
      </c>
      <c r="C8" t="s">
        <v>11</v>
      </c>
      <c r="D8" t="s">
        <v>12</v>
      </c>
    </row>
    <row r="9" spans="1:4" x14ac:dyDescent="0.55000000000000004">
      <c r="A9">
        <v>1</v>
      </c>
      <c r="B9" t="s">
        <v>104</v>
      </c>
      <c r="C9" t="s">
        <v>105</v>
      </c>
      <c r="D9" t="s">
        <v>0</v>
      </c>
    </row>
    <row r="10" spans="1:4" x14ac:dyDescent="0.55000000000000004">
      <c r="A10">
        <v>2</v>
      </c>
      <c r="B10" t="s">
        <v>106</v>
      </c>
      <c r="C10" t="s">
        <v>105</v>
      </c>
      <c r="D10" t="s">
        <v>107</v>
      </c>
    </row>
    <row r="11" spans="1:4" x14ac:dyDescent="0.55000000000000004">
      <c r="A11">
        <v>3</v>
      </c>
      <c r="B11" t="s">
        <v>108</v>
      </c>
      <c r="C11" t="s">
        <v>105</v>
      </c>
      <c r="D11" t="s">
        <v>11</v>
      </c>
    </row>
    <row r="12" spans="1:4" x14ac:dyDescent="0.55000000000000004">
      <c r="A12">
        <v>4</v>
      </c>
      <c r="B12" t="s">
        <v>13</v>
      </c>
      <c r="C12" t="s">
        <v>105</v>
      </c>
      <c r="D12" t="s">
        <v>13</v>
      </c>
    </row>
    <row r="13" spans="1:4" x14ac:dyDescent="0.55000000000000004">
      <c r="A13">
        <v>5</v>
      </c>
      <c r="B13" t="s">
        <v>109</v>
      </c>
      <c r="C13" t="s">
        <v>110</v>
      </c>
      <c r="D13" t="s">
        <v>111</v>
      </c>
    </row>
    <row r="14" spans="1:4" x14ac:dyDescent="0.55000000000000004">
      <c r="A14">
        <v>6</v>
      </c>
      <c r="B14" t="s">
        <v>112</v>
      </c>
      <c r="C14" t="s">
        <v>110</v>
      </c>
      <c r="D14" s="5">
        <f ca="1">TODAY()</f>
        <v>46069</v>
      </c>
    </row>
    <row r="15" spans="1:4" x14ac:dyDescent="0.55000000000000004">
      <c r="A15">
        <v>7</v>
      </c>
      <c r="B15" t="s">
        <v>113</v>
      </c>
      <c r="C15" t="s">
        <v>114</v>
      </c>
      <c r="D15" t="s">
        <v>115</v>
      </c>
    </row>
    <row r="16" spans="1:4" x14ac:dyDescent="0.55000000000000004">
      <c r="A16">
        <v>8</v>
      </c>
      <c r="B16" t="s">
        <v>116</v>
      </c>
      <c r="C16" t="s">
        <v>114</v>
      </c>
      <c r="D16" t="str">
        <f ca="1">TEXT(TODAY(),"YYYYMMDD")</f>
        <v>20260216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529590</xdr:colOff>
                    <xdr:row>0</xdr:row>
                    <xdr:rowOff>45720</xdr:rowOff>
                  </from>
                  <to>
                    <xdr:col>3</xdr:col>
                    <xdr:colOff>971550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25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55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80.367187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4">
        <v>46066.817557870374</v>
      </c>
      <c r="B40" s="3" t="s">
        <v>37</v>
      </c>
      <c r="C40" s="3" t="s">
        <v>42</v>
      </c>
      <c r="D40" s="3" t="s">
        <v>57</v>
      </c>
      <c r="E40" s="3" t="s">
        <v>35</v>
      </c>
      <c r="F40" s="3">
        <v>3</v>
      </c>
      <c r="G40" s="3" t="s">
        <v>28</v>
      </c>
    </row>
    <row r="41" spans="1:7" x14ac:dyDescent="0.55000000000000004">
      <c r="A41" s="4">
        <v>46066.822777777779</v>
      </c>
      <c r="B41" s="3" t="s">
        <v>32</v>
      </c>
      <c r="C41" s="3" t="s">
        <v>33</v>
      </c>
      <c r="D41" s="3" t="s">
        <v>55</v>
      </c>
      <c r="E41" s="3" t="s">
        <v>35</v>
      </c>
      <c r="F41" s="3">
        <v>3</v>
      </c>
      <c r="G41" s="3" t="s">
        <v>28</v>
      </c>
    </row>
    <row r="42" spans="1:7" x14ac:dyDescent="0.55000000000000004">
      <c r="A42" s="4">
        <v>46066.823067129626</v>
      </c>
      <c r="B42" s="3" t="s">
        <v>32</v>
      </c>
      <c r="C42" s="3" t="s">
        <v>33</v>
      </c>
      <c r="D42" s="3" t="s">
        <v>56</v>
      </c>
      <c r="E42" s="3" t="s">
        <v>35</v>
      </c>
      <c r="F42" s="3">
        <v>4</v>
      </c>
      <c r="G42" s="3" t="s">
        <v>28</v>
      </c>
    </row>
    <row r="43" spans="1:7" x14ac:dyDescent="0.55000000000000004">
      <c r="A43" s="4">
        <v>46066.824050925927</v>
      </c>
      <c r="B43" s="3" t="s">
        <v>32</v>
      </c>
      <c r="C43" s="3" t="s">
        <v>33</v>
      </c>
      <c r="D43" s="3" t="s">
        <v>55</v>
      </c>
      <c r="E43" s="3" t="s">
        <v>35</v>
      </c>
      <c r="F43" s="3">
        <v>3</v>
      </c>
      <c r="G43" s="3" t="s">
        <v>28</v>
      </c>
    </row>
    <row r="44" spans="1:7" x14ac:dyDescent="0.55000000000000004">
      <c r="A44" s="4">
        <v>46066.824131944442</v>
      </c>
      <c r="B44" s="3" t="s">
        <v>32</v>
      </c>
      <c r="C44" s="3" t="s">
        <v>33</v>
      </c>
      <c r="D44" s="3" t="s">
        <v>56</v>
      </c>
      <c r="E44" s="3" t="s">
        <v>35</v>
      </c>
      <c r="F44" s="3">
        <v>4</v>
      </c>
      <c r="G44" s="3" t="s">
        <v>28</v>
      </c>
    </row>
    <row r="45" spans="1:7" x14ac:dyDescent="0.55000000000000004">
      <c r="A45" s="4">
        <v>46066.82712962963</v>
      </c>
      <c r="B45" s="3" t="s">
        <v>37</v>
      </c>
      <c r="C45" s="3" t="s">
        <v>42</v>
      </c>
      <c r="D45" s="3" t="s">
        <v>57</v>
      </c>
      <c r="E45" s="3" t="s">
        <v>35</v>
      </c>
      <c r="F45" s="3">
        <v>3</v>
      </c>
      <c r="G45" s="3" t="s">
        <v>28</v>
      </c>
    </row>
    <row r="46" spans="1:7" x14ac:dyDescent="0.55000000000000004">
      <c r="A46" s="4">
        <v>46066.83011574074</v>
      </c>
      <c r="B46" s="3" t="s">
        <v>32</v>
      </c>
      <c r="C46" s="3" t="s">
        <v>33</v>
      </c>
      <c r="D46" s="3" t="s">
        <v>55</v>
      </c>
      <c r="E46" s="3" t="s">
        <v>35</v>
      </c>
      <c r="F46" s="3">
        <v>3</v>
      </c>
      <c r="G46" s="3" t="s">
        <v>28</v>
      </c>
    </row>
    <row r="47" spans="1:7" x14ac:dyDescent="0.55000000000000004">
      <c r="A47" s="4">
        <v>46066.830185185187</v>
      </c>
      <c r="B47" s="3" t="s">
        <v>32</v>
      </c>
      <c r="C47" s="3" t="s">
        <v>33</v>
      </c>
      <c r="D47" s="3" t="s">
        <v>56</v>
      </c>
      <c r="E47" s="3" t="s">
        <v>35</v>
      </c>
      <c r="F47" s="3">
        <v>4</v>
      </c>
      <c r="G47" s="3" t="s">
        <v>28</v>
      </c>
    </row>
    <row r="48" spans="1:7" x14ac:dyDescent="0.55000000000000004">
      <c r="A48" s="4">
        <v>46066.830347222225</v>
      </c>
      <c r="B48" s="3" t="s">
        <v>37</v>
      </c>
      <c r="C48" s="3" t="s">
        <v>44</v>
      </c>
      <c r="D48" s="3" t="s">
        <v>57</v>
      </c>
      <c r="E48" s="3" t="s">
        <v>35</v>
      </c>
      <c r="F48" s="3">
        <v>3</v>
      </c>
      <c r="G48" s="3" t="s">
        <v>28</v>
      </c>
    </row>
    <row r="49" spans="1:7" x14ac:dyDescent="0.55000000000000004">
      <c r="A49" s="4">
        <v>46066.831944444442</v>
      </c>
      <c r="B49" s="3" t="s">
        <v>37</v>
      </c>
      <c r="C49" s="3" t="s">
        <v>44</v>
      </c>
      <c r="D49" s="3" t="s">
        <v>57</v>
      </c>
      <c r="E49" s="3" t="s">
        <v>35</v>
      </c>
      <c r="F49" s="3">
        <v>3</v>
      </c>
      <c r="G49" s="3" t="s">
        <v>28</v>
      </c>
    </row>
    <row r="50" spans="1:7" x14ac:dyDescent="0.55000000000000004">
      <c r="A50" s="4">
        <v>46066.841898148145</v>
      </c>
      <c r="B50" s="3" t="s">
        <v>32</v>
      </c>
      <c r="C50" s="3" t="s">
        <v>33</v>
      </c>
      <c r="D50" s="3" t="s">
        <v>55</v>
      </c>
      <c r="E50" s="3" t="s">
        <v>35</v>
      </c>
      <c r="F50" s="3">
        <v>3</v>
      </c>
      <c r="G50" s="3" t="s">
        <v>28</v>
      </c>
    </row>
    <row r="51" spans="1:7" x14ac:dyDescent="0.55000000000000004">
      <c r="A51" s="4">
        <v>46066.841967592591</v>
      </c>
      <c r="B51" s="3" t="s">
        <v>32</v>
      </c>
      <c r="C51" s="3" t="s">
        <v>33</v>
      </c>
      <c r="D51" s="3" t="s">
        <v>56</v>
      </c>
      <c r="E51" s="3" t="s">
        <v>35</v>
      </c>
      <c r="F51" s="3">
        <v>4</v>
      </c>
      <c r="G51" s="3" t="s">
        <v>28</v>
      </c>
    </row>
    <row r="52" spans="1:7" x14ac:dyDescent="0.55000000000000004">
      <c r="A52" s="4">
        <v>46066.841990740744</v>
      </c>
      <c r="B52" s="3" t="s">
        <v>37</v>
      </c>
      <c r="C52" s="3" t="s">
        <v>42</v>
      </c>
      <c r="D52" s="3" t="s">
        <v>57</v>
      </c>
      <c r="E52" s="3" t="s">
        <v>35</v>
      </c>
      <c r="F52" s="3">
        <v>3</v>
      </c>
      <c r="G52" s="3" t="s">
        <v>28</v>
      </c>
    </row>
    <row r="53" spans="1:7" x14ac:dyDescent="0.55000000000000004">
      <c r="A53" s="4">
        <v>46066.842187499999</v>
      </c>
      <c r="B53" s="3" t="s">
        <v>37</v>
      </c>
      <c r="C53" s="3" t="s">
        <v>42</v>
      </c>
      <c r="D53" s="3" t="s">
        <v>57</v>
      </c>
      <c r="E53" s="3" t="s">
        <v>35</v>
      </c>
      <c r="F53" s="3">
        <v>3</v>
      </c>
      <c r="G53" s="3" t="s">
        <v>28</v>
      </c>
    </row>
    <row r="54" spans="1:7" x14ac:dyDescent="0.55000000000000004">
      <c r="A54" s="4">
        <v>46066.844467592593</v>
      </c>
      <c r="B54" s="3" t="s">
        <v>32</v>
      </c>
      <c r="C54" s="3" t="s">
        <v>33</v>
      </c>
      <c r="D54" s="3" t="s">
        <v>55</v>
      </c>
      <c r="E54" s="3" t="s">
        <v>35</v>
      </c>
      <c r="F54" s="3">
        <v>3</v>
      </c>
      <c r="G54" s="3" t="s">
        <v>28</v>
      </c>
    </row>
    <row r="55" spans="1:7" x14ac:dyDescent="0.55000000000000004">
      <c r="A55" s="4">
        <v>46066.844548611109</v>
      </c>
      <c r="B55" s="3" t="s">
        <v>32</v>
      </c>
      <c r="C55" s="3" t="s">
        <v>33</v>
      </c>
      <c r="D55" s="3" t="s">
        <v>56</v>
      </c>
      <c r="E55" s="3" t="s">
        <v>35</v>
      </c>
      <c r="F55" s="3">
        <v>4</v>
      </c>
      <c r="G55" s="3" t="s">
        <v>28</v>
      </c>
    </row>
    <row r="56" spans="1:7" x14ac:dyDescent="0.55000000000000004">
      <c r="A56" s="4">
        <v>46066.846631944441</v>
      </c>
      <c r="B56" s="3" t="s">
        <v>32</v>
      </c>
      <c r="C56" s="3" t="s">
        <v>33</v>
      </c>
      <c r="D56" s="3" t="s">
        <v>55</v>
      </c>
      <c r="E56" s="3" t="s">
        <v>35</v>
      </c>
      <c r="F56" s="3">
        <v>3</v>
      </c>
      <c r="G56" s="3" t="s">
        <v>28</v>
      </c>
    </row>
    <row r="57" spans="1:7" x14ac:dyDescent="0.55000000000000004">
      <c r="A57" s="4">
        <v>46066.846712962964</v>
      </c>
      <c r="B57" s="3" t="s">
        <v>32</v>
      </c>
      <c r="C57" s="3" t="s">
        <v>33</v>
      </c>
      <c r="D57" s="3" t="s">
        <v>58</v>
      </c>
      <c r="E57" s="3" t="s">
        <v>35</v>
      </c>
      <c r="F57" s="3">
        <v>10</v>
      </c>
      <c r="G57" s="3" t="s">
        <v>28</v>
      </c>
    </row>
    <row r="58" spans="1:7" x14ac:dyDescent="0.55000000000000004">
      <c r="A58" s="4">
        <v>46066.848946759259</v>
      </c>
      <c r="B58" s="3" t="s">
        <v>32</v>
      </c>
      <c r="C58" s="3" t="s">
        <v>33</v>
      </c>
      <c r="D58" s="3" t="s">
        <v>55</v>
      </c>
      <c r="E58" s="3" t="s">
        <v>35</v>
      </c>
      <c r="F58" s="3">
        <v>3</v>
      </c>
      <c r="G58" s="3" t="s">
        <v>28</v>
      </c>
    </row>
    <row r="59" spans="1:7" x14ac:dyDescent="0.55000000000000004">
      <c r="A59" s="4">
        <v>46066.849097222221</v>
      </c>
      <c r="B59" s="3" t="s">
        <v>32</v>
      </c>
      <c r="C59" s="3" t="s">
        <v>33</v>
      </c>
      <c r="D59" s="3" t="s">
        <v>56</v>
      </c>
      <c r="E59" s="3" t="s">
        <v>35</v>
      </c>
      <c r="F59" s="3">
        <v>4</v>
      </c>
      <c r="G59" s="3" t="s">
        <v>28</v>
      </c>
    </row>
    <row r="60" spans="1:7" x14ac:dyDescent="0.55000000000000004">
      <c r="A60" s="4">
        <v>46066.851273148146</v>
      </c>
      <c r="B60" s="3" t="s">
        <v>32</v>
      </c>
      <c r="C60" s="3" t="s">
        <v>33</v>
      </c>
      <c r="D60" s="3" t="s">
        <v>55</v>
      </c>
      <c r="E60" s="3" t="s">
        <v>35</v>
      </c>
      <c r="F60" s="3">
        <v>3</v>
      </c>
      <c r="G60" s="3" t="s">
        <v>28</v>
      </c>
    </row>
    <row r="61" spans="1:7" x14ac:dyDescent="0.55000000000000004">
      <c r="A61" s="4">
        <v>46066.851354166669</v>
      </c>
      <c r="B61" s="3" t="s">
        <v>32</v>
      </c>
      <c r="C61" s="3" t="s">
        <v>33</v>
      </c>
      <c r="D61" s="3" t="s">
        <v>56</v>
      </c>
      <c r="E61" s="3" t="s">
        <v>35</v>
      </c>
      <c r="F61" s="3">
        <v>4</v>
      </c>
      <c r="G61" s="3" t="s">
        <v>28</v>
      </c>
    </row>
    <row r="62" spans="1:7" x14ac:dyDescent="0.55000000000000004">
      <c r="A62" s="4">
        <v>46066.852465277778</v>
      </c>
      <c r="B62" s="3" t="s">
        <v>37</v>
      </c>
      <c r="C62" s="3" t="s">
        <v>44</v>
      </c>
      <c r="D62" s="3" t="s">
        <v>57</v>
      </c>
      <c r="E62" s="3" t="s">
        <v>35</v>
      </c>
      <c r="F62" s="3">
        <v>3</v>
      </c>
      <c r="G62" s="3" t="s">
        <v>28</v>
      </c>
    </row>
    <row r="63" spans="1:7" x14ac:dyDescent="0.55000000000000004">
      <c r="A63" s="4">
        <v>46066.854062500002</v>
      </c>
      <c r="B63" s="3" t="s">
        <v>32</v>
      </c>
      <c r="C63" s="3" t="s">
        <v>33</v>
      </c>
      <c r="D63" s="3" t="s">
        <v>55</v>
      </c>
      <c r="E63" s="3" t="s">
        <v>35</v>
      </c>
      <c r="F63" s="3">
        <v>8</v>
      </c>
      <c r="G63" s="3" t="s">
        <v>28</v>
      </c>
    </row>
    <row r="64" spans="1:7" x14ac:dyDescent="0.55000000000000004">
      <c r="A64" s="4">
        <v>46066.854143518518</v>
      </c>
      <c r="B64" s="3" t="s">
        <v>32</v>
      </c>
      <c r="C64" s="3" t="s">
        <v>33</v>
      </c>
      <c r="D64" s="3" t="s">
        <v>56</v>
      </c>
      <c r="E64" s="3" t="s">
        <v>35</v>
      </c>
      <c r="F64" s="3">
        <v>9</v>
      </c>
      <c r="G64" s="3" t="s">
        <v>28</v>
      </c>
    </row>
    <row r="65" spans="1:7" x14ac:dyDescent="0.55000000000000004">
      <c r="A65" s="4">
        <v>46066.854166666664</v>
      </c>
      <c r="B65" s="3" t="s">
        <v>37</v>
      </c>
      <c r="C65" s="3" t="s">
        <v>44</v>
      </c>
      <c r="D65" s="3" t="s">
        <v>61</v>
      </c>
      <c r="E65" s="3" t="s">
        <v>35</v>
      </c>
      <c r="F65" s="3">
        <v>8</v>
      </c>
      <c r="G65" s="3" t="s">
        <v>28</v>
      </c>
    </row>
    <row r="66" spans="1:7" x14ac:dyDescent="0.55000000000000004">
      <c r="A66" s="4">
        <v>46067.421805555554</v>
      </c>
      <c r="B66" s="3" t="s">
        <v>37</v>
      </c>
      <c r="C66" s="3" t="s">
        <v>44</v>
      </c>
      <c r="D66" s="3" t="s">
        <v>61</v>
      </c>
      <c r="E66" s="3" t="s">
        <v>35</v>
      </c>
      <c r="F66" s="3">
        <v>8</v>
      </c>
      <c r="G66" s="3" t="s">
        <v>28</v>
      </c>
    </row>
    <row r="67" spans="1:7" x14ac:dyDescent="0.55000000000000004">
      <c r="A67" s="4">
        <v>46067.423321759263</v>
      </c>
      <c r="B67" s="3" t="s">
        <v>37</v>
      </c>
      <c r="C67" s="3" t="s">
        <v>44</v>
      </c>
      <c r="D67" s="3" t="s">
        <v>61</v>
      </c>
      <c r="E67" s="3" t="s">
        <v>35</v>
      </c>
      <c r="F67" s="3">
        <v>8</v>
      </c>
      <c r="G67" s="3" t="s">
        <v>28</v>
      </c>
    </row>
    <row r="68" spans="1:7" x14ac:dyDescent="0.55000000000000004">
      <c r="A68" s="4">
        <v>46067.424224537041</v>
      </c>
      <c r="B68" s="3" t="s">
        <v>32</v>
      </c>
      <c r="C68" s="3" t="s">
        <v>33</v>
      </c>
      <c r="D68" s="3" t="s">
        <v>55</v>
      </c>
      <c r="E68" s="3" t="s">
        <v>35</v>
      </c>
      <c r="F68" s="3">
        <v>8</v>
      </c>
      <c r="G68" s="3" t="s">
        <v>28</v>
      </c>
    </row>
    <row r="69" spans="1:7" x14ac:dyDescent="0.55000000000000004">
      <c r="A69" s="4">
        <v>46067.424293981479</v>
      </c>
      <c r="B69" s="3" t="s">
        <v>32</v>
      </c>
      <c r="C69" s="3" t="s">
        <v>33</v>
      </c>
      <c r="D69" s="3" t="s">
        <v>56</v>
      </c>
      <c r="E69" s="3" t="s">
        <v>35</v>
      </c>
      <c r="F69" s="3">
        <v>9</v>
      </c>
      <c r="G69" s="3" t="s">
        <v>28</v>
      </c>
    </row>
    <row r="70" spans="1:7" x14ac:dyDescent="0.55000000000000004">
      <c r="A70" s="4">
        <v>46067.424340277779</v>
      </c>
      <c r="B70" s="3" t="s">
        <v>37</v>
      </c>
      <c r="C70" s="3" t="s">
        <v>44</v>
      </c>
      <c r="D70" s="3" t="s">
        <v>61</v>
      </c>
      <c r="E70" s="3" t="s">
        <v>35</v>
      </c>
      <c r="F70" s="3">
        <v>8</v>
      </c>
      <c r="G70" s="3" t="s">
        <v>28</v>
      </c>
    </row>
    <row r="71" spans="1:7" x14ac:dyDescent="0.55000000000000004">
      <c r="A71" s="4">
        <v>46067.425104166665</v>
      </c>
      <c r="B71" s="3" t="s">
        <v>32</v>
      </c>
      <c r="C71" s="3" t="s">
        <v>33</v>
      </c>
      <c r="D71" s="3" t="s">
        <v>55</v>
      </c>
      <c r="E71" s="3" t="s">
        <v>35</v>
      </c>
      <c r="F71" s="3">
        <v>8</v>
      </c>
      <c r="G71" s="3" t="s">
        <v>28</v>
      </c>
    </row>
    <row r="72" spans="1:7" x14ac:dyDescent="0.55000000000000004">
      <c r="A72" s="4">
        <v>46067.425162037034</v>
      </c>
      <c r="B72" s="3" t="s">
        <v>32</v>
      </c>
      <c r="C72" s="3" t="s">
        <v>33</v>
      </c>
      <c r="D72" s="3" t="s">
        <v>56</v>
      </c>
      <c r="E72" s="3" t="s">
        <v>35</v>
      </c>
      <c r="F72" s="3">
        <v>9</v>
      </c>
      <c r="G72" s="3" t="s">
        <v>28</v>
      </c>
    </row>
    <row r="73" spans="1:7" x14ac:dyDescent="0.55000000000000004">
      <c r="A73" s="4">
        <v>46067.425219907411</v>
      </c>
      <c r="B73" s="3" t="s">
        <v>37</v>
      </c>
      <c r="C73" s="3" t="s">
        <v>44</v>
      </c>
      <c r="D73" s="3" t="s">
        <v>61</v>
      </c>
      <c r="E73" s="3" t="s">
        <v>35</v>
      </c>
      <c r="F73" s="3">
        <v>8</v>
      </c>
      <c r="G73" s="3" t="s">
        <v>28</v>
      </c>
    </row>
    <row r="74" spans="1:7" x14ac:dyDescent="0.55000000000000004">
      <c r="A74" s="4">
        <v>46067.426886574074</v>
      </c>
      <c r="B74" s="3" t="s">
        <v>37</v>
      </c>
      <c r="C74" s="3" t="s">
        <v>44</v>
      </c>
      <c r="D74" s="3" t="s">
        <v>61</v>
      </c>
      <c r="E74" s="3" t="s">
        <v>35</v>
      </c>
      <c r="F74" s="3">
        <v>8</v>
      </c>
      <c r="G74" s="3" t="s">
        <v>28</v>
      </c>
    </row>
    <row r="75" spans="1:7" x14ac:dyDescent="0.55000000000000004">
      <c r="A75" s="4">
        <v>46067.66611111111</v>
      </c>
      <c r="B75" s="3" t="s">
        <v>32</v>
      </c>
      <c r="C75" s="3" t="s">
        <v>33</v>
      </c>
      <c r="D75" s="3" t="s">
        <v>64</v>
      </c>
      <c r="E75" s="3" t="s">
        <v>35</v>
      </c>
      <c r="F75" s="3">
        <v>9</v>
      </c>
      <c r="G75" s="3" t="s">
        <v>28</v>
      </c>
    </row>
    <row r="76" spans="1:7" x14ac:dyDescent="0.55000000000000004">
      <c r="A76" s="4">
        <v>46067.666284722225</v>
      </c>
      <c r="B76" s="3" t="s">
        <v>32</v>
      </c>
      <c r="C76" s="3" t="s">
        <v>33</v>
      </c>
      <c r="D76" s="3" t="s">
        <v>67</v>
      </c>
      <c r="E76" s="3" t="s">
        <v>35</v>
      </c>
      <c r="F76" s="3">
        <v>6</v>
      </c>
      <c r="G76" s="3" t="s">
        <v>28</v>
      </c>
    </row>
    <row r="77" spans="1:7" x14ac:dyDescent="0.55000000000000004">
      <c r="A77" s="4">
        <v>46067.666377314818</v>
      </c>
      <c r="B77" s="3" t="s">
        <v>37</v>
      </c>
      <c r="C77" s="3" t="s">
        <v>44</v>
      </c>
      <c r="D77" s="3" t="s">
        <v>68</v>
      </c>
      <c r="E77" s="3" t="s">
        <v>35</v>
      </c>
      <c r="F77" s="3">
        <v>4</v>
      </c>
      <c r="G77" s="3" t="s">
        <v>28</v>
      </c>
    </row>
    <row r="78" spans="1:7" x14ac:dyDescent="0.55000000000000004">
      <c r="A78" s="4">
        <v>46067.666458333333</v>
      </c>
      <c r="B78" s="3" t="s">
        <v>37</v>
      </c>
      <c r="C78" s="3" t="s">
        <v>44</v>
      </c>
      <c r="D78" s="3" t="s">
        <v>68</v>
      </c>
      <c r="E78" s="3" t="s">
        <v>35</v>
      </c>
      <c r="F78" s="3">
        <v>4</v>
      </c>
      <c r="G78" s="3" t="s">
        <v>28</v>
      </c>
    </row>
    <row r="79" spans="1:7" x14ac:dyDescent="0.55000000000000004">
      <c r="A79" s="4">
        <v>46067.666828703703</v>
      </c>
      <c r="B79" s="3" t="s">
        <v>37</v>
      </c>
      <c r="C79" s="3" t="s">
        <v>44</v>
      </c>
      <c r="D79" s="3" t="s">
        <v>68</v>
      </c>
      <c r="E79" s="3" t="s">
        <v>35</v>
      </c>
      <c r="F79" s="3">
        <v>4</v>
      </c>
      <c r="G79" s="3" t="s">
        <v>28</v>
      </c>
    </row>
    <row r="80" spans="1:7" x14ac:dyDescent="0.55000000000000004">
      <c r="A80" s="4">
        <v>46067.666979166665</v>
      </c>
      <c r="B80" s="3" t="s">
        <v>37</v>
      </c>
      <c r="C80" s="3" t="s">
        <v>44</v>
      </c>
      <c r="D80" s="3" t="s">
        <v>68</v>
      </c>
      <c r="E80" s="3" t="s">
        <v>35</v>
      </c>
      <c r="F80" s="3">
        <v>4</v>
      </c>
      <c r="G80" s="3" t="s">
        <v>28</v>
      </c>
    </row>
    <row r="81" spans="1:7" x14ac:dyDescent="0.55000000000000004">
      <c r="A81" s="4">
        <v>46067.667233796295</v>
      </c>
      <c r="B81" s="3" t="s">
        <v>37</v>
      </c>
      <c r="C81" s="3" t="s">
        <v>44</v>
      </c>
      <c r="D81" s="3" t="s">
        <v>68</v>
      </c>
      <c r="E81" s="3" t="s">
        <v>35</v>
      </c>
      <c r="F81" s="3">
        <v>4</v>
      </c>
      <c r="G81" s="3" t="s">
        <v>28</v>
      </c>
    </row>
    <row r="82" spans="1:7" x14ac:dyDescent="0.55000000000000004">
      <c r="A82" s="4">
        <v>46067.66920138889</v>
      </c>
      <c r="B82" s="3" t="s">
        <v>32</v>
      </c>
      <c r="C82" s="3" t="s">
        <v>33</v>
      </c>
      <c r="D82" s="3" t="s">
        <v>64</v>
      </c>
      <c r="E82" s="3" t="s">
        <v>35</v>
      </c>
      <c r="F82" s="3">
        <v>7</v>
      </c>
      <c r="G82" s="3" t="s">
        <v>28</v>
      </c>
    </row>
    <row r="83" spans="1:7" x14ac:dyDescent="0.55000000000000004">
      <c r="A83" s="4">
        <v>46067.669571759259</v>
      </c>
      <c r="B83" s="3" t="s">
        <v>32</v>
      </c>
      <c r="C83" s="3" t="s">
        <v>33</v>
      </c>
      <c r="D83" s="3" t="s">
        <v>67</v>
      </c>
      <c r="E83" s="3" t="s">
        <v>35</v>
      </c>
      <c r="F83" s="3">
        <v>13</v>
      </c>
      <c r="G83" s="3" t="s">
        <v>28</v>
      </c>
    </row>
    <row r="84" spans="1:7" x14ac:dyDescent="0.55000000000000004">
      <c r="A84" s="4">
        <v>46067.669699074075</v>
      </c>
      <c r="B84" s="3" t="s">
        <v>37</v>
      </c>
      <c r="C84" s="3" t="s">
        <v>44</v>
      </c>
      <c r="D84" s="3" t="s">
        <v>70</v>
      </c>
      <c r="E84" s="3" t="s">
        <v>35</v>
      </c>
      <c r="F84" s="3">
        <v>8</v>
      </c>
      <c r="G84" s="3" t="s">
        <v>28</v>
      </c>
    </row>
    <row r="85" spans="1:7" x14ac:dyDescent="0.55000000000000004">
      <c r="A85" s="4">
        <v>46067.670960648145</v>
      </c>
      <c r="B85" s="3" t="s">
        <v>37</v>
      </c>
      <c r="C85" s="3" t="s">
        <v>44</v>
      </c>
      <c r="D85" s="3" t="s">
        <v>70</v>
      </c>
      <c r="E85" s="3" t="s">
        <v>35</v>
      </c>
      <c r="F85" s="3">
        <v>8</v>
      </c>
      <c r="G85" s="3" t="s">
        <v>28</v>
      </c>
    </row>
    <row r="86" spans="1:7" x14ac:dyDescent="0.55000000000000004">
      <c r="A86" s="4">
        <v>46067.672256944446</v>
      </c>
      <c r="B86" s="3" t="s">
        <v>32</v>
      </c>
      <c r="C86" s="3" t="s">
        <v>33</v>
      </c>
      <c r="D86" s="3" t="s">
        <v>64</v>
      </c>
      <c r="E86" s="3" t="s">
        <v>35</v>
      </c>
      <c r="F86" s="3">
        <v>7</v>
      </c>
      <c r="G86" s="3" t="s">
        <v>28</v>
      </c>
    </row>
    <row r="87" spans="1:7" x14ac:dyDescent="0.55000000000000004">
      <c r="A87" s="4">
        <v>46067.672372685185</v>
      </c>
      <c r="B87" s="3" t="s">
        <v>37</v>
      </c>
      <c r="C87" s="3" t="s">
        <v>44</v>
      </c>
      <c r="D87" s="3" t="s">
        <v>70</v>
      </c>
      <c r="E87" s="3" t="s">
        <v>35</v>
      </c>
      <c r="F87" s="3">
        <v>8</v>
      </c>
      <c r="G87" s="3" t="s">
        <v>28</v>
      </c>
    </row>
    <row r="88" spans="1:7" x14ac:dyDescent="0.55000000000000004">
      <c r="A88" s="4">
        <v>46067.673078703701</v>
      </c>
      <c r="B88" s="3" t="s">
        <v>37</v>
      </c>
      <c r="C88" s="3" t="s">
        <v>44</v>
      </c>
      <c r="D88" s="3" t="s">
        <v>70</v>
      </c>
      <c r="E88" s="3" t="s">
        <v>35</v>
      </c>
      <c r="F88" s="3">
        <v>8</v>
      </c>
      <c r="G88" s="3" t="s">
        <v>28</v>
      </c>
    </row>
    <row r="89" spans="1:7" x14ac:dyDescent="0.55000000000000004">
      <c r="A89" s="4">
        <v>46067.67386574074</v>
      </c>
      <c r="B89" s="3" t="s">
        <v>37</v>
      </c>
      <c r="C89" s="3" t="s">
        <v>44</v>
      </c>
      <c r="D89" s="3" t="s">
        <v>70</v>
      </c>
      <c r="E89" s="3" t="s">
        <v>35</v>
      </c>
      <c r="F89" s="3">
        <v>8</v>
      </c>
      <c r="G89" s="3" t="s">
        <v>28</v>
      </c>
    </row>
    <row r="90" spans="1:7" x14ac:dyDescent="0.55000000000000004">
      <c r="A90" s="4">
        <v>46067.674027777779</v>
      </c>
      <c r="B90" s="3" t="s">
        <v>32</v>
      </c>
      <c r="C90" s="3" t="s">
        <v>33</v>
      </c>
      <c r="D90" s="3" t="s">
        <v>64</v>
      </c>
      <c r="E90" s="3" t="s">
        <v>35</v>
      </c>
      <c r="F90" s="3">
        <v>7</v>
      </c>
      <c r="G90" s="3" t="s">
        <v>28</v>
      </c>
    </row>
    <row r="91" spans="1:7" x14ac:dyDescent="0.55000000000000004">
      <c r="A91" s="4">
        <v>46067.674178240741</v>
      </c>
      <c r="B91" s="3" t="s">
        <v>32</v>
      </c>
      <c r="C91" s="3" t="s">
        <v>33</v>
      </c>
      <c r="D91" s="3" t="s">
        <v>64</v>
      </c>
      <c r="E91" s="3" t="s">
        <v>35</v>
      </c>
      <c r="F91" s="3">
        <v>7</v>
      </c>
      <c r="G91" s="3" t="s">
        <v>28</v>
      </c>
    </row>
    <row r="92" spans="1:7" x14ac:dyDescent="0.55000000000000004">
      <c r="A92" s="4">
        <v>46067.674259259256</v>
      </c>
      <c r="B92" s="3" t="s">
        <v>32</v>
      </c>
      <c r="C92" s="3" t="s">
        <v>33</v>
      </c>
      <c r="D92" s="3" t="s">
        <v>67</v>
      </c>
      <c r="E92" s="3" t="s">
        <v>35</v>
      </c>
      <c r="F92" s="3">
        <v>13</v>
      </c>
      <c r="G92" s="3" t="s">
        <v>28</v>
      </c>
    </row>
    <row r="93" spans="1:7" x14ac:dyDescent="0.55000000000000004">
      <c r="A93" s="4">
        <v>46067.676863425928</v>
      </c>
      <c r="B93" s="3" t="s">
        <v>37</v>
      </c>
      <c r="C93" s="3" t="s">
        <v>44</v>
      </c>
      <c r="D93" s="3" t="s">
        <v>70</v>
      </c>
      <c r="E93" s="3" t="s">
        <v>35</v>
      </c>
      <c r="F93" s="3">
        <v>8</v>
      </c>
      <c r="G93" s="3" t="s">
        <v>28</v>
      </c>
    </row>
    <row r="94" spans="1:7" x14ac:dyDescent="0.55000000000000004">
      <c r="A94" s="4">
        <v>46067.693032407406</v>
      </c>
      <c r="B94" s="3" t="s">
        <v>32</v>
      </c>
      <c r="C94" s="3" t="s">
        <v>33</v>
      </c>
      <c r="D94" s="3" t="s">
        <v>64</v>
      </c>
      <c r="E94" s="3" t="s">
        <v>35</v>
      </c>
      <c r="F94" s="3">
        <v>7</v>
      </c>
      <c r="G94" s="3" t="s">
        <v>28</v>
      </c>
    </row>
    <row r="95" spans="1:7" x14ac:dyDescent="0.55000000000000004">
      <c r="A95" s="4">
        <v>46067.693113425928</v>
      </c>
      <c r="B95" s="3" t="s">
        <v>32</v>
      </c>
      <c r="C95" s="3" t="s">
        <v>33</v>
      </c>
      <c r="D95" s="3" t="s">
        <v>73</v>
      </c>
      <c r="E95" s="3" t="s">
        <v>35</v>
      </c>
      <c r="F95" s="3">
        <v>7</v>
      </c>
      <c r="G95" s="3" t="s">
        <v>28</v>
      </c>
    </row>
    <row r="96" spans="1:7" x14ac:dyDescent="0.55000000000000004">
      <c r="A96" s="4">
        <v>46067.693240740744</v>
      </c>
      <c r="B96" s="3" t="s">
        <v>37</v>
      </c>
      <c r="C96" s="3" t="s">
        <v>44</v>
      </c>
      <c r="D96" s="3" t="s">
        <v>74</v>
      </c>
      <c r="E96" s="3" t="s">
        <v>35</v>
      </c>
      <c r="F96" s="3">
        <v>5</v>
      </c>
      <c r="G96" s="3" t="s">
        <v>28</v>
      </c>
    </row>
    <row r="97" spans="1:7" x14ac:dyDescent="0.55000000000000004">
      <c r="A97" s="4">
        <v>46067.693402777775</v>
      </c>
      <c r="B97" s="3" t="s">
        <v>37</v>
      </c>
      <c r="C97" s="3" t="s">
        <v>44</v>
      </c>
      <c r="D97" s="3" t="s">
        <v>74</v>
      </c>
      <c r="E97" s="3" t="s">
        <v>35</v>
      </c>
      <c r="F97" s="3">
        <v>5</v>
      </c>
      <c r="G97" s="3" t="s">
        <v>28</v>
      </c>
    </row>
    <row r="98" spans="1:7" x14ac:dyDescent="0.55000000000000004">
      <c r="A98" s="4">
        <v>46067.694016203706</v>
      </c>
      <c r="B98" s="3" t="s">
        <v>37</v>
      </c>
      <c r="C98" s="3" t="s">
        <v>44</v>
      </c>
      <c r="D98" s="3" t="s">
        <v>75</v>
      </c>
      <c r="E98" s="3" t="s">
        <v>35</v>
      </c>
      <c r="F98" s="3">
        <v>7</v>
      </c>
      <c r="G98" s="3" t="s">
        <v>28</v>
      </c>
    </row>
    <row r="99" spans="1:7" x14ac:dyDescent="0.55000000000000004">
      <c r="A99" s="4">
        <v>46067.694560185184</v>
      </c>
      <c r="B99" s="3" t="s">
        <v>39</v>
      </c>
      <c r="C99" s="3" t="s">
        <v>44</v>
      </c>
      <c r="D99" s="3" t="s">
        <v>40</v>
      </c>
      <c r="E99" s="3" t="s">
        <v>35</v>
      </c>
      <c r="F99" s="3">
        <v>4</v>
      </c>
      <c r="G99" s="3" t="s">
        <v>28</v>
      </c>
    </row>
    <row r="100" spans="1:7" x14ac:dyDescent="0.55000000000000004">
      <c r="A100" s="4">
        <v>46067.696250000001</v>
      </c>
      <c r="B100" s="3" t="s">
        <v>37</v>
      </c>
      <c r="C100" s="3" t="s">
        <v>44</v>
      </c>
      <c r="D100" s="3" t="s">
        <v>75</v>
      </c>
      <c r="E100" s="3" t="s">
        <v>35</v>
      </c>
      <c r="F100" s="3">
        <v>7</v>
      </c>
      <c r="G100" s="3" t="s">
        <v>28</v>
      </c>
    </row>
    <row r="101" spans="1:7" x14ac:dyDescent="0.55000000000000004">
      <c r="A101" s="4">
        <v>46067.696319444447</v>
      </c>
      <c r="B101" s="3" t="s">
        <v>39</v>
      </c>
      <c r="C101" s="3" t="s">
        <v>44</v>
      </c>
      <c r="D101" s="3" t="s">
        <v>40</v>
      </c>
      <c r="E101" s="3" t="s">
        <v>35</v>
      </c>
      <c r="F101" s="3">
        <v>4</v>
      </c>
      <c r="G101" s="3" t="s">
        <v>28</v>
      </c>
    </row>
    <row r="102" spans="1:7" x14ac:dyDescent="0.55000000000000004">
      <c r="A102" s="4">
        <v>46067.762453703705</v>
      </c>
      <c r="B102" s="3" t="s">
        <v>32</v>
      </c>
      <c r="C102" s="3" t="s">
        <v>33</v>
      </c>
      <c r="D102" s="3" t="s">
        <v>64</v>
      </c>
      <c r="E102" s="3" t="s">
        <v>35</v>
      </c>
      <c r="F102" s="3">
        <v>11</v>
      </c>
      <c r="G102" s="3" t="s">
        <v>28</v>
      </c>
    </row>
    <row r="103" spans="1:7" x14ac:dyDescent="0.55000000000000004">
      <c r="A103" s="4">
        <v>46067.762523148151</v>
      </c>
      <c r="B103" s="3" t="s">
        <v>32</v>
      </c>
      <c r="C103" s="3" t="s">
        <v>33</v>
      </c>
      <c r="D103" s="3" t="s">
        <v>67</v>
      </c>
      <c r="E103" s="3" t="s">
        <v>35</v>
      </c>
      <c r="F103" s="3">
        <v>24</v>
      </c>
      <c r="G103" s="3" t="s">
        <v>28</v>
      </c>
    </row>
    <row r="104" spans="1:7" x14ac:dyDescent="0.55000000000000004">
      <c r="A104" s="4">
        <v>46067.762604166666</v>
      </c>
      <c r="B104" s="3" t="s">
        <v>37</v>
      </c>
      <c r="C104" s="3" t="s">
        <v>78</v>
      </c>
      <c r="D104" s="3" t="s">
        <v>151</v>
      </c>
      <c r="E104" s="3" t="s">
        <v>35</v>
      </c>
      <c r="F104" s="3">
        <v>0</v>
      </c>
      <c r="G104" s="3" t="s">
        <v>28</v>
      </c>
    </row>
    <row r="105" spans="1:7" x14ac:dyDescent="0.55000000000000004">
      <c r="A105" s="4">
        <v>46067.763287037036</v>
      </c>
      <c r="B105" s="3" t="s">
        <v>32</v>
      </c>
      <c r="C105" s="3" t="s">
        <v>33</v>
      </c>
      <c r="D105" s="3" t="s">
        <v>64</v>
      </c>
      <c r="E105" s="3" t="s">
        <v>35</v>
      </c>
      <c r="F105" s="3">
        <v>11</v>
      </c>
      <c r="G105" s="3" t="s">
        <v>28</v>
      </c>
    </row>
    <row r="106" spans="1:7" x14ac:dyDescent="0.55000000000000004">
      <c r="A106" s="4">
        <v>46067.763368055559</v>
      </c>
      <c r="B106" s="3" t="s">
        <v>32</v>
      </c>
      <c r="C106" s="3" t="s">
        <v>33</v>
      </c>
      <c r="D106" s="3" t="s">
        <v>67</v>
      </c>
      <c r="E106" s="3" t="s">
        <v>35</v>
      </c>
      <c r="F106" s="3">
        <v>24</v>
      </c>
      <c r="G106" s="3" t="s">
        <v>28</v>
      </c>
    </row>
    <row r="107" spans="1:7" x14ac:dyDescent="0.55000000000000004">
      <c r="A107" s="4">
        <v>46067.763425925928</v>
      </c>
      <c r="B107" s="3" t="s">
        <v>37</v>
      </c>
      <c r="C107" s="3" t="s">
        <v>78</v>
      </c>
      <c r="D107" s="3" t="s">
        <v>151</v>
      </c>
      <c r="E107" s="3" t="s">
        <v>35</v>
      </c>
      <c r="F107" s="3">
        <v>0</v>
      </c>
      <c r="G107" s="3" t="s">
        <v>28</v>
      </c>
    </row>
    <row r="108" spans="1:7" x14ac:dyDescent="0.55000000000000004">
      <c r="A108" s="4">
        <v>46067.764652777776</v>
      </c>
      <c r="B108" s="3" t="s">
        <v>37</v>
      </c>
      <c r="C108" s="3" t="s">
        <v>78</v>
      </c>
      <c r="D108" s="3" t="s">
        <v>152</v>
      </c>
      <c r="E108" s="3" t="s">
        <v>35</v>
      </c>
      <c r="F108" s="3">
        <v>8</v>
      </c>
      <c r="G108" s="3" t="s">
        <v>28</v>
      </c>
    </row>
    <row r="109" spans="1:7" x14ac:dyDescent="0.55000000000000004">
      <c r="A109" s="4">
        <v>46067.772013888891</v>
      </c>
      <c r="B109" s="3" t="s">
        <v>32</v>
      </c>
      <c r="C109" s="3" t="s">
        <v>33</v>
      </c>
      <c r="D109" s="3" t="s">
        <v>64</v>
      </c>
      <c r="E109" s="3" t="s">
        <v>35</v>
      </c>
      <c r="F109" s="3">
        <v>11</v>
      </c>
      <c r="G109" s="3" t="s">
        <v>28</v>
      </c>
    </row>
    <row r="110" spans="1:7" x14ac:dyDescent="0.55000000000000004">
      <c r="A110" s="4">
        <v>46067.772094907406</v>
      </c>
      <c r="B110" s="3" t="s">
        <v>32</v>
      </c>
      <c r="C110" s="3" t="s">
        <v>33</v>
      </c>
      <c r="D110" s="3" t="s">
        <v>67</v>
      </c>
      <c r="E110" s="3" t="s">
        <v>35</v>
      </c>
      <c r="F110" s="3">
        <v>24</v>
      </c>
      <c r="G110" s="3" t="s">
        <v>28</v>
      </c>
    </row>
    <row r="111" spans="1:7" x14ac:dyDescent="0.55000000000000004">
      <c r="A111" s="4">
        <v>46067.772129629629</v>
      </c>
      <c r="B111" s="3" t="s">
        <v>37</v>
      </c>
      <c r="C111" s="3" t="s">
        <v>78</v>
      </c>
      <c r="D111" s="3" t="s">
        <v>152</v>
      </c>
      <c r="E111" s="3" t="s">
        <v>35</v>
      </c>
      <c r="F111" s="3">
        <v>8</v>
      </c>
      <c r="G111" s="3" t="s">
        <v>28</v>
      </c>
    </row>
    <row r="112" spans="1:7" x14ac:dyDescent="0.55000000000000004">
      <c r="A112" s="4">
        <v>46067.774444444447</v>
      </c>
      <c r="B112" s="3" t="s">
        <v>32</v>
      </c>
      <c r="C112" s="3" t="s">
        <v>33</v>
      </c>
      <c r="D112" s="3" t="s">
        <v>64</v>
      </c>
      <c r="E112" s="3" t="s">
        <v>35</v>
      </c>
      <c r="F112" s="3">
        <v>11</v>
      </c>
      <c r="G112" s="3" t="s">
        <v>28</v>
      </c>
    </row>
    <row r="113" spans="1:7" x14ac:dyDescent="0.55000000000000004">
      <c r="A113" s="4">
        <v>46067.774525462963</v>
      </c>
      <c r="B113" s="3" t="s">
        <v>32</v>
      </c>
      <c r="C113" s="3" t="s">
        <v>33</v>
      </c>
      <c r="D113" s="3" t="s">
        <v>67</v>
      </c>
      <c r="E113" s="3" t="s">
        <v>35</v>
      </c>
      <c r="F113" s="3">
        <v>24</v>
      </c>
      <c r="G113" s="3" t="s">
        <v>28</v>
      </c>
    </row>
    <row r="114" spans="1:7" x14ac:dyDescent="0.55000000000000004">
      <c r="A114" s="4">
        <v>46067.774594907409</v>
      </c>
      <c r="B114" s="3" t="s">
        <v>37</v>
      </c>
      <c r="C114" s="3" t="s">
        <v>78</v>
      </c>
      <c r="D114" s="3" t="s">
        <v>152</v>
      </c>
      <c r="E114" s="3" t="s">
        <v>35</v>
      </c>
      <c r="F114" s="3">
        <v>8</v>
      </c>
      <c r="G114" s="3" t="s">
        <v>28</v>
      </c>
    </row>
    <row r="115" spans="1:7" x14ac:dyDescent="0.55000000000000004">
      <c r="A115" s="4">
        <v>46067.774652777778</v>
      </c>
      <c r="B115" s="3" t="s">
        <v>39</v>
      </c>
      <c r="C115" s="3" t="s">
        <v>78</v>
      </c>
      <c r="D115" s="3" t="s">
        <v>153</v>
      </c>
      <c r="E115" s="3" t="s">
        <v>35</v>
      </c>
      <c r="F115" s="3">
        <v>0</v>
      </c>
      <c r="G115" s="3" t="s">
        <v>28</v>
      </c>
    </row>
    <row r="116" spans="1:7" x14ac:dyDescent="0.55000000000000004">
      <c r="A116" s="4">
        <v>46067.779236111113</v>
      </c>
      <c r="B116" s="3" t="s">
        <v>32</v>
      </c>
      <c r="C116" s="3" t="s">
        <v>33</v>
      </c>
      <c r="D116" s="3" t="s">
        <v>64</v>
      </c>
      <c r="E116" s="3" t="s">
        <v>35</v>
      </c>
      <c r="F116" s="3">
        <v>11</v>
      </c>
      <c r="G116" s="3" t="s">
        <v>28</v>
      </c>
    </row>
    <row r="117" spans="1:7" x14ac:dyDescent="0.55000000000000004">
      <c r="A117" s="4">
        <v>46067.779305555552</v>
      </c>
      <c r="B117" s="3" t="s">
        <v>32</v>
      </c>
      <c r="C117" s="3" t="s">
        <v>33</v>
      </c>
      <c r="D117" s="3" t="s">
        <v>67</v>
      </c>
      <c r="E117" s="3" t="s">
        <v>35</v>
      </c>
      <c r="F117" s="3">
        <v>24</v>
      </c>
      <c r="G117" s="3" t="s">
        <v>28</v>
      </c>
    </row>
    <row r="118" spans="1:7" x14ac:dyDescent="0.55000000000000004">
      <c r="A118" s="4">
        <v>46067.779340277775</v>
      </c>
      <c r="B118" s="3" t="s">
        <v>37</v>
      </c>
      <c r="C118" s="3" t="s">
        <v>78</v>
      </c>
      <c r="D118" s="3" t="s">
        <v>152</v>
      </c>
      <c r="E118" s="3" t="s">
        <v>35</v>
      </c>
      <c r="F118" s="3">
        <v>8</v>
      </c>
      <c r="G118" s="3" t="s">
        <v>28</v>
      </c>
    </row>
    <row r="119" spans="1:7" x14ac:dyDescent="0.55000000000000004">
      <c r="A119" s="4">
        <v>46067.779386574075</v>
      </c>
      <c r="B119" s="3" t="s">
        <v>39</v>
      </c>
      <c r="C119" s="3" t="s">
        <v>78</v>
      </c>
      <c r="D119" s="3" t="s">
        <v>154</v>
      </c>
      <c r="E119" s="3" t="s">
        <v>35</v>
      </c>
      <c r="F119" s="3">
        <v>0</v>
      </c>
      <c r="G119" s="3" t="s">
        <v>28</v>
      </c>
    </row>
    <row r="120" spans="1:7" x14ac:dyDescent="0.55000000000000004">
      <c r="A120" s="4">
        <v>46067.779918981483</v>
      </c>
      <c r="B120" s="3" t="s">
        <v>37</v>
      </c>
      <c r="C120" s="3" t="s">
        <v>78</v>
      </c>
      <c r="D120" s="3" t="s">
        <v>152</v>
      </c>
      <c r="E120" s="3" t="s">
        <v>35</v>
      </c>
      <c r="F120" s="3">
        <v>8</v>
      </c>
      <c r="G120" s="3" t="s">
        <v>28</v>
      </c>
    </row>
    <row r="121" spans="1:7" x14ac:dyDescent="0.55000000000000004">
      <c r="A121" s="4">
        <v>46067.780034722222</v>
      </c>
      <c r="B121" s="3" t="s">
        <v>39</v>
      </c>
      <c r="C121" s="3" t="s">
        <v>78</v>
      </c>
      <c r="D121" s="3" t="s">
        <v>155</v>
      </c>
      <c r="E121" s="3" t="s">
        <v>35</v>
      </c>
      <c r="F121" s="3">
        <v>0</v>
      </c>
      <c r="G121" s="3" t="s">
        <v>28</v>
      </c>
    </row>
    <row r="122" spans="1:7" x14ac:dyDescent="0.55000000000000004">
      <c r="A122" s="4">
        <v>46067.780347222222</v>
      </c>
      <c r="B122" s="3" t="s">
        <v>39</v>
      </c>
      <c r="C122" s="3" t="s">
        <v>78</v>
      </c>
      <c r="D122" s="3" t="s">
        <v>156</v>
      </c>
      <c r="E122" s="3" t="s">
        <v>35</v>
      </c>
      <c r="F122" s="3">
        <v>4</v>
      </c>
      <c r="G122" s="3" t="s">
        <v>28</v>
      </c>
    </row>
    <row r="123" spans="1:7" x14ac:dyDescent="0.55000000000000004">
      <c r="A123" s="4">
        <v>46067.780914351853</v>
      </c>
      <c r="B123" s="3" t="s">
        <v>39</v>
      </c>
      <c r="C123" s="3" t="s">
        <v>78</v>
      </c>
      <c r="D123" s="3" t="s">
        <v>157</v>
      </c>
      <c r="E123" s="3" t="s">
        <v>35</v>
      </c>
      <c r="F123" s="3">
        <v>4</v>
      </c>
      <c r="G123" s="3" t="s">
        <v>28</v>
      </c>
    </row>
    <row r="124" spans="1:7" x14ac:dyDescent="0.55000000000000004">
      <c r="A124" s="4">
        <v>46067.782349537039</v>
      </c>
      <c r="B124" s="3" t="s">
        <v>37</v>
      </c>
      <c r="C124" s="3" t="s">
        <v>78</v>
      </c>
      <c r="D124" s="3" t="s">
        <v>152</v>
      </c>
      <c r="E124" s="3" t="s">
        <v>35</v>
      </c>
      <c r="F124" s="3">
        <v>8</v>
      </c>
      <c r="G124" s="3" t="s">
        <v>28</v>
      </c>
    </row>
    <row r="125" spans="1:7" x14ac:dyDescent="0.55000000000000004">
      <c r="A125" s="4">
        <v>46067.782870370371</v>
      </c>
      <c r="B125" s="3" t="s">
        <v>37</v>
      </c>
      <c r="C125" s="3" t="s">
        <v>78</v>
      </c>
      <c r="D125" s="3" t="s">
        <v>152</v>
      </c>
      <c r="E125" s="3" t="s">
        <v>35</v>
      </c>
      <c r="F125" s="3">
        <v>8</v>
      </c>
      <c r="G125" s="3" t="s">
        <v>28</v>
      </c>
    </row>
    <row r="126" spans="1:7" x14ac:dyDescent="0.55000000000000004">
      <c r="A126" s="4">
        <v>46067.783229166664</v>
      </c>
      <c r="B126" s="3" t="s">
        <v>37</v>
      </c>
      <c r="C126" s="3" t="s">
        <v>78</v>
      </c>
      <c r="D126" s="3" t="s">
        <v>159</v>
      </c>
      <c r="E126" s="3" t="s">
        <v>35</v>
      </c>
      <c r="F126" s="3">
        <v>8</v>
      </c>
      <c r="G126" s="3" t="s">
        <v>28</v>
      </c>
    </row>
    <row r="127" spans="1:7" x14ac:dyDescent="0.55000000000000004">
      <c r="A127" s="4">
        <v>46067.783252314817</v>
      </c>
      <c r="B127" s="3" t="s">
        <v>39</v>
      </c>
      <c r="C127" s="3" t="s">
        <v>78</v>
      </c>
      <c r="D127" s="3" t="s">
        <v>157</v>
      </c>
      <c r="E127" s="3" t="s">
        <v>35</v>
      </c>
      <c r="F127" s="3">
        <v>8</v>
      </c>
      <c r="G127" s="3" t="s">
        <v>28</v>
      </c>
    </row>
    <row r="128" spans="1:7" x14ac:dyDescent="0.55000000000000004">
      <c r="A128" s="8">
        <v>46067.783946759257</v>
      </c>
      <c r="B128" s="6" t="s">
        <v>39</v>
      </c>
      <c r="C128" s="6" t="s">
        <v>78</v>
      </c>
      <c r="D128" s="6" t="s">
        <v>160</v>
      </c>
      <c r="E128" s="6" t="s">
        <v>69</v>
      </c>
      <c r="F128" s="6">
        <v>0</v>
      </c>
      <c r="G128" s="6" t="s">
        <v>28</v>
      </c>
    </row>
    <row r="129" spans="1:7" x14ac:dyDescent="0.55000000000000004">
      <c r="A129" s="8">
        <v>46067.784409722219</v>
      </c>
      <c r="B129" s="6" t="s">
        <v>32</v>
      </c>
      <c r="C129" s="6" t="s">
        <v>33</v>
      </c>
      <c r="D129" s="6" t="s">
        <v>64</v>
      </c>
      <c r="E129" s="6" t="s">
        <v>35</v>
      </c>
      <c r="F129" s="6">
        <v>11</v>
      </c>
      <c r="G129" s="6" t="s">
        <v>28</v>
      </c>
    </row>
    <row r="130" spans="1:7" x14ac:dyDescent="0.55000000000000004">
      <c r="A130" s="8">
        <v>46067.784479166665</v>
      </c>
      <c r="B130" s="6" t="s">
        <v>32</v>
      </c>
      <c r="C130" s="6" t="s">
        <v>33</v>
      </c>
      <c r="D130" s="6" t="s">
        <v>67</v>
      </c>
      <c r="E130" s="6" t="s">
        <v>35</v>
      </c>
      <c r="F130" s="6">
        <v>24</v>
      </c>
      <c r="G130" s="6" t="s">
        <v>28</v>
      </c>
    </row>
    <row r="131" spans="1:7" x14ac:dyDescent="0.55000000000000004">
      <c r="A131" s="8">
        <v>46067.784502314818</v>
      </c>
      <c r="B131" s="6" t="s">
        <v>37</v>
      </c>
      <c r="C131" s="6" t="s">
        <v>78</v>
      </c>
      <c r="D131" s="6" t="s">
        <v>159</v>
      </c>
      <c r="E131" s="6" t="s">
        <v>35</v>
      </c>
      <c r="F131" s="6">
        <v>8</v>
      </c>
      <c r="G131" s="6" t="s">
        <v>28</v>
      </c>
    </row>
    <row r="132" spans="1:7" x14ac:dyDescent="0.55000000000000004">
      <c r="A132" s="8">
        <v>46067.784537037034</v>
      </c>
      <c r="B132" s="6" t="s">
        <v>39</v>
      </c>
      <c r="C132" s="6" t="s">
        <v>78</v>
      </c>
      <c r="D132" s="6" t="s">
        <v>160</v>
      </c>
      <c r="E132" s="6" t="s">
        <v>69</v>
      </c>
      <c r="F132" s="6">
        <v>0</v>
      </c>
      <c r="G132" s="6" t="s">
        <v>28</v>
      </c>
    </row>
    <row r="133" spans="1:7" x14ac:dyDescent="0.55000000000000004">
      <c r="A133" s="8">
        <v>46067.784884259258</v>
      </c>
      <c r="B133" s="6" t="s">
        <v>32</v>
      </c>
      <c r="C133" s="6" t="s">
        <v>33</v>
      </c>
      <c r="D133" s="6" t="s">
        <v>64</v>
      </c>
      <c r="E133" s="6" t="s">
        <v>35</v>
      </c>
      <c r="F133" s="6">
        <v>11</v>
      </c>
      <c r="G133" s="6" t="s">
        <v>28</v>
      </c>
    </row>
    <row r="134" spans="1:7" x14ac:dyDescent="0.55000000000000004">
      <c r="A134" s="8">
        <v>46067.78496527778</v>
      </c>
      <c r="B134" s="6" t="s">
        <v>32</v>
      </c>
      <c r="C134" s="6" t="s">
        <v>33</v>
      </c>
      <c r="D134" s="6" t="s">
        <v>67</v>
      </c>
      <c r="E134" s="6" t="s">
        <v>35</v>
      </c>
      <c r="F134" s="6">
        <v>24</v>
      </c>
      <c r="G134" s="6" t="s">
        <v>28</v>
      </c>
    </row>
    <row r="135" spans="1:7" x14ac:dyDescent="0.55000000000000004">
      <c r="A135" s="8">
        <v>46067.785000000003</v>
      </c>
      <c r="B135" s="6" t="s">
        <v>37</v>
      </c>
      <c r="C135" s="6" t="s">
        <v>78</v>
      </c>
      <c r="D135" s="6" t="s">
        <v>159</v>
      </c>
      <c r="E135" s="6" t="s">
        <v>35</v>
      </c>
      <c r="F135" s="6">
        <v>8</v>
      </c>
      <c r="G135" s="6" t="s">
        <v>28</v>
      </c>
    </row>
    <row r="136" spans="1:7" x14ac:dyDescent="0.55000000000000004">
      <c r="A136" s="8">
        <v>46067.78502314815</v>
      </c>
      <c r="B136" s="6" t="s">
        <v>39</v>
      </c>
      <c r="C136" s="6" t="s">
        <v>78</v>
      </c>
      <c r="D136" s="6" t="s">
        <v>156</v>
      </c>
      <c r="E136" s="6" t="s">
        <v>35</v>
      </c>
      <c r="F136" s="6">
        <v>8</v>
      </c>
      <c r="G136" s="6" t="s">
        <v>28</v>
      </c>
    </row>
    <row r="137" spans="1:7" x14ac:dyDescent="0.55000000000000004">
      <c r="A137" s="8">
        <v>46067.785312499997</v>
      </c>
      <c r="B137" s="6" t="s">
        <v>37</v>
      </c>
      <c r="C137" s="6" t="s">
        <v>79</v>
      </c>
      <c r="D137" s="6" t="s">
        <v>161</v>
      </c>
      <c r="E137" s="6" t="s">
        <v>35</v>
      </c>
      <c r="F137" s="6">
        <v>0</v>
      </c>
      <c r="G137" s="6" t="s">
        <v>28</v>
      </c>
    </row>
    <row r="138" spans="1:7" x14ac:dyDescent="0.55000000000000004">
      <c r="A138" s="8">
        <v>46067.785775462966</v>
      </c>
      <c r="B138" s="6" t="s">
        <v>37</v>
      </c>
      <c r="C138" s="6" t="s">
        <v>79</v>
      </c>
      <c r="D138" s="6" t="s">
        <v>161</v>
      </c>
      <c r="E138" s="6" t="s">
        <v>35</v>
      </c>
      <c r="F138" s="6">
        <v>0</v>
      </c>
      <c r="G138" s="6" t="s">
        <v>28</v>
      </c>
    </row>
    <row r="139" spans="1:7" x14ac:dyDescent="0.55000000000000004">
      <c r="A139" s="8">
        <v>46067.786249999997</v>
      </c>
      <c r="B139" s="6" t="s">
        <v>37</v>
      </c>
      <c r="C139" s="6" t="s">
        <v>80</v>
      </c>
      <c r="D139" s="6" t="s">
        <v>162</v>
      </c>
      <c r="E139" s="6" t="s">
        <v>35</v>
      </c>
      <c r="F139" s="6">
        <v>0</v>
      </c>
      <c r="G139" s="6" t="s">
        <v>28</v>
      </c>
    </row>
    <row r="140" spans="1:7" x14ac:dyDescent="0.55000000000000004">
      <c r="A140" s="8">
        <v>46067.802037037036</v>
      </c>
      <c r="B140" s="6" t="s">
        <v>32</v>
      </c>
      <c r="C140" s="6" t="s">
        <v>33</v>
      </c>
      <c r="D140" s="6" t="s">
        <v>64</v>
      </c>
      <c r="E140" s="6" t="s">
        <v>35</v>
      </c>
      <c r="F140" s="6">
        <v>11</v>
      </c>
      <c r="G140" s="6" t="s">
        <v>28</v>
      </c>
    </row>
    <row r="141" spans="1:7" x14ac:dyDescent="0.55000000000000004">
      <c r="A141" s="8">
        <v>46067.802152777775</v>
      </c>
      <c r="B141" s="6" t="s">
        <v>32</v>
      </c>
      <c r="C141" s="6" t="s">
        <v>33</v>
      </c>
      <c r="D141" s="6" t="s">
        <v>67</v>
      </c>
      <c r="E141" s="6" t="s">
        <v>35</v>
      </c>
      <c r="F141" s="6">
        <v>24</v>
      </c>
      <c r="G141" s="6" t="s">
        <v>28</v>
      </c>
    </row>
    <row r="142" spans="1:7" x14ac:dyDescent="0.55000000000000004">
      <c r="A142" s="8">
        <v>46067.802199074074</v>
      </c>
      <c r="B142" s="6" t="s">
        <v>37</v>
      </c>
      <c r="C142" s="6" t="s">
        <v>78</v>
      </c>
      <c r="D142" s="6" t="s">
        <v>159</v>
      </c>
      <c r="E142" s="6" t="s">
        <v>35</v>
      </c>
      <c r="F142" s="6">
        <v>8</v>
      </c>
      <c r="G142" s="6" t="s">
        <v>28</v>
      </c>
    </row>
    <row r="143" spans="1:7" x14ac:dyDescent="0.55000000000000004">
      <c r="A143" s="8">
        <v>46067.802233796298</v>
      </c>
      <c r="B143" s="6" t="s">
        <v>39</v>
      </c>
      <c r="C143" s="6" t="s">
        <v>78</v>
      </c>
      <c r="D143" s="6" t="s">
        <v>157</v>
      </c>
      <c r="E143" s="6" t="s">
        <v>35</v>
      </c>
      <c r="F143" s="6">
        <v>8</v>
      </c>
      <c r="G143" s="6" t="s">
        <v>28</v>
      </c>
    </row>
    <row r="144" spans="1:7" x14ac:dyDescent="0.55000000000000004">
      <c r="A144" s="8">
        <v>46067.806770833333</v>
      </c>
      <c r="B144" s="6" t="s">
        <v>32</v>
      </c>
      <c r="C144" s="6" t="s">
        <v>33</v>
      </c>
      <c r="D144" s="6" t="s">
        <v>64</v>
      </c>
      <c r="E144" s="6" t="s">
        <v>35</v>
      </c>
      <c r="F144" s="6">
        <v>11</v>
      </c>
      <c r="G144" s="6" t="s">
        <v>28</v>
      </c>
    </row>
    <row r="145" spans="1:7" x14ac:dyDescent="0.55000000000000004">
      <c r="A145" s="8">
        <v>46067.806851851848</v>
      </c>
      <c r="B145" s="6" t="s">
        <v>32</v>
      </c>
      <c r="C145" s="6" t="s">
        <v>33</v>
      </c>
      <c r="D145" s="6" t="s">
        <v>67</v>
      </c>
      <c r="E145" s="6" t="s">
        <v>35</v>
      </c>
      <c r="F145" s="6">
        <v>24</v>
      </c>
      <c r="G145" s="6" t="s">
        <v>28</v>
      </c>
    </row>
    <row r="146" spans="1:7" x14ac:dyDescent="0.55000000000000004">
      <c r="A146" s="8">
        <v>46067.806956018518</v>
      </c>
      <c r="B146" s="6" t="s">
        <v>37</v>
      </c>
      <c r="C146" s="6" t="s">
        <v>78</v>
      </c>
      <c r="D146" s="6" t="s">
        <v>159</v>
      </c>
      <c r="E146" s="6" t="s">
        <v>35</v>
      </c>
      <c r="F146" s="6">
        <v>8</v>
      </c>
      <c r="G146" s="6" t="s">
        <v>28</v>
      </c>
    </row>
    <row r="147" spans="1:7" x14ac:dyDescent="0.55000000000000004">
      <c r="A147" s="8">
        <v>46067.806979166664</v>
      </c>
      <c r="B147" s="6" t="s">
        <v>39</v>
      </c>
      <c r="C147" s="6" t="s">
        <v>78</v>
      </c>
      <c r="D147" s="6" t="s">
        <v>156</v>
      </c>
      <c r="E147" s="6" t="s">
        <v>35</v>
      </c>
      <c r="F147" s="6">
        <v>8</v>
      </c>
      <c r="G147" s="6" t="s">
        <v>28</v>
      </c>
    </row>
    <row r="148" spans="1:7" x14ac:dyDescent="0.55000000000000004">
      <c r="A148" s="8">
        <v>46067.811226851853</v>
      </c>
      <c r="B148" s="6" t="s">
        <v>32</v>
      </c>
      <c r="C148" s="6" t="s">
        <v>33</v>
      </c>
      <c r="D148" s="6" t="s">
        <v>64</v>
      </c>
      <c r="E148" s="6" t="s">
        <v>35</v>
      </c>
      <c r="F148" s="6">
        <v>11</v>
      </c>
      <c r="G148" s="6" t="s">
        <v>28</v>
      </c>
    </row>
    <row r="149" spans="1:7" x14ac:dyDescent="0.55000000000000004">
      <c r="A149" s="8">
        <v>46067.811284722222</v>
      </c>
      <c r="B149" s="6" t="s">
        <v>32</v>
      </c>
      <c r="C149" s="6" t="s">
        <v>33</v>
      </c>
      <c r="D149" s="6" t="s">
        <v>67</v>
      </c>
      <c r="E149" s="6" t="s">
        <v>35</v>
      </c>
      <c r="F149" s="6">
        <v>24</v>
      </c>
      <c r="G149" s="6" t="s">
        <v>28</v>
      </c>
    </row>
    <row r="150" spans="1:7" x14ac:dyDescent="0.55000000000000004">
      <c r="A150" s="8">
        <v>46067.811307870368</v>
      </c>
      <c r="B150" s="6" t="s">
        <v>37</v>
      </c>
      <c r="C150" s="6" t="s">
        <v>78</v>
      </c>
      <c r="D150" s="6" t="s">
        <v>159</v>
      </c>
      <c r="E150" s="6" t="s">
        <v>35</v>
      </c>
      <c r="F150" s="6">
        <v>8</v>
      </c>
      <c r="G150" s="6" t="s">
        <v>28</v>
      </c>
    </row>
    <row r="151" spans="1:7" x14ac:dyDescent="0.55000000000000004">
      <c r="A151" s="8">
        <v>46067.811331018522</v>
      </c>
      <c r="B151" s="6" t="s">
        <v>39</v>
      </c>
      <c r="C151" s="6" t="s">
        <v>78</v>
      </c>
      <c r="D151" s="6" t="s">
        <v>156</v>
      </c>
      <c r="E151" s="6" t="s">
        <v>35</v>
      </c>
      <c r="F151" s="6">
        <v>8</v>
      </c>
      <c r="G151" s="6" t="s">
        <v>28</v>
      </c>
    </row>
    <row r="152" spans="1:7" x14ac:dyDescent="0.55000000000000004">
      <c r="A152" s="8">
        <v>46067.819733796299</v>
      </c>
      <c r="B152" s="6" t="s">
        <v>32</v>
      </c>
      <c r="C152" s="6" t="s">
        <v>33</v>
      </c>
      <c r="D152" s="6" t="s">
        <v>64</v>
      </c>
      <c r="E152" s="6" t="s">
        <v>35</v>
      </c>
      <c r="F152" s="6">
        <v>11</v>
      </c>
      <c r="G152" s="6" t="s">
        <v>28</v>
      </c>
    </row>
    <row r="153" spans="1:7" x14ac:dyDescent="0.55000000000000004">
      <c r="A153" s="8">
        <v>46067.819826388892</v>
      </c>
      <c r="B153" s="6" t="s">
        <v>32</v>
      </c>
      <c r="C153" s="6" t="s">
        <v>33</v>
      </c>
      <c r="D153" s="6" t="s">
        <v>67</v>
      </c>
      <c r="E153" s="6" t="s">
        <v>35</v>
      </c>
      <c r="F153" s="6">
        <v>24</v>
      </c>
      <c r="G153" s="6" t="s">
        <v>28</v>
      </c>
    </row>
    <row r="154" spans="1:7" x14ac:dyDescent="0.55000000000000004">
      <c r="A154" s="8">
        <v>46067.819976851853</v>
      </c>
      <c r="B154" s="6" t="s">
        <v>37</v>
      </c>
      <c r="C154" s="6" t="s">
        <v>78</v>
      </c>
      <c r="D154" s="6" t="s">
        <v>159</v>
      </c>
      <c r="E154" s="6" t="s">
        <v>35</v>
      </c>
      <c r="F154" s="6">
        <v>8</v>
      </c>
      <c r="G154" s="6" t="s">
        <v>28</v>
      </c>
    </row>
    <row r="155" spans="1:7" x14ac:dyDescent="0.55000000000000004">
      <c r="A155" s="8">
        <v>46067.82</v>
      </c>
      <c r="B155" s="6" t="s">
        <v>39</v>
      </c>
      <c r="C155" s="6" t="s">
        <v>78</v>
      </c>
      <c r="D155" s="6" t="s">
        <v>156</v>
      </c>
      <c r="E155" s="6" t="s">
        <v>35</v>
      </c>
      <c r="F155" s="6">
        <v>8</v>
      </c>
      <c r="G155" s="6" t="s">
        <v>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9"/>
  <sheetViews>
    <sheetView workbookViewId="0">
      <pane ySplit="1" topLeftCell="A2" activePane="bottomLeft" state="frozen"/>
      <selection pane="bottomLeft"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9"/>
  <sheetViews>
    <sheetView workbookViewId="0">
      <pane ySplit="1" topLeftCell="A2" activePane="bottomLeft" state="frozen"/>
      <selection pane="bottomLeft" activeCell="A2" sqref="A2:XFD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F10" sqref="F10"/>
      <selection pane="bottomLeft" activeCell="B4" sqref="B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9"/>
  <sheetViews>
    <sheetView tabSelected="1" workbookViewId="0">
      <pane ySplit="1" topLeftCell="A2" activePane="bottomLeft" state="frozen"/>
      <selection pane="bottomLeft" activeCell="A2" sqref="A2:H9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46067</v>
      </c>
      <c r="G2">
        <f>Table131[[#This Row],[Amount]]*0.98</f>
        <v>98</v>
      </c>
      <c r="H2">
        <f t="shared" ref="H2:H9" si="0">20260214</f>
        <v>20260214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46067</v>
      </c>
      <c r="G3">
        <f>Table131[[#This Row],[Amount]]*0.98</f>
        <v>49</v>
      </c>
      <c r="H3">
        <f t="shared" si="0"/>
        <v>20260214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46067</v>
      </c>
      <c r="G4">
        <f>Table131[[#This Row],[Amount]]*0.98</f>
        <v>147.49</v>
      </c>
      <c r="H4">
        <f t="shared" si="0"/>
        <v>20260214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46067</v>
      </c>
      <c r="G5">
        <f>Table131[[#This Row],[Amount]]*0.98</f>
        <v>73.5</v>
      </c>
      <c r="H5">
        <f t="shared" si="0"/>
        <v>20260214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46067</v>
      </c>
      <c r="G6">
        <f>Table131[[#This Row],[Amount]]*0.98</f>
        <v>196</v>
      </c>
      <c r="H6">
        <f t="shared" si="0"/>
        <v>20260214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46067</v>
      </c>
      <c r="G7">
        <f>Table131[[#This Row],[Amount]]*0.98</f>
        <v>98</v>
      </c>
      <c r="H7">
        <f t="shared" si="0"/>
        <v>20260214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46067</v>
      </c>
      <c r="G8">
        <f>Table131[[#This Row],[Amount]]*0.98</f>
        <v>147</v>
      </c>
      <c r="H8">
        <f t="shared" si="0"/>
        <v>20260214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46067</v>
      </c>
      <c r="G9">
        <f>Table131[[#This Row],[Amount]]*0.98</f>
        <v>58.8</v>
      </c>
      <c r="H9">
        <f t="shared" si="0"/>
        <v>20260214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2026-02-16T17:27:34Z</dcterms:modified>
</cp:coreProperties>
</file>