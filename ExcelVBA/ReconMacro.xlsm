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7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91065EDC839078B3/Documents/repos/VBA/windowsforms-recon/ExcelVBA/"/>
    </mc:Choice>
  </mc:AlternateContent>
  <xr:revisionPtr revIDLastSave="31829" documentId="8_{02591AEE-AA27-4992-A490-F4BCF6A95374}" xr6:coauthVersionLast="47" xr6:coauthVersionMax="47" xr10:uidLastSave="{4921C9C3-209B-4B88-957F-C62DA293FC56}"/>
  <bookViews>
    <workbookView xWindow="11514" yWindow="6840" windowWidth="11532" windowHeight="6846" firstSheet="1" activeTab="8" xr2:uid="{713D0E20-2510-4F46-8450-E6CC1A43B8CC}"/>
  </bookViews>
  <sheets>
    <sheet name="ConfigReference" sheetId="35" state="hidden" r:id="rId1"/>
    <sheet name="Backlog" sheetId="11" r:id="rId2"/>
    <sheet name="Workflows" sheetId="12" r:id="rId3"/>
    <sheet name="Load Config" sheetId="41" r:id="rId4"/>
    <sheet name="Recon Config" sheetId="1" r:id="rId5"/>
    <sheet name="Transform Config" sheetId="8" r:id="rId6"/>
    <sheet name="Recon Config - Summary" sheetId="13" state="hidden" r:id="rId7"/>
    <sheet name="Sheet1" sheetId="3" r:id="rId8"/>
    <sheet name="Sheet2" sheetId="2" r:id="rId9"/>
    <sheet name="Activity Log" sheetId="36" r:id="rId10"/>
    <sheet name="Fee All Results" sheetId="25" r:id="rId11"/>
    <sheet name="Fee Error Results" sheetId="27" r:id="rId12"/>
    <sheet name="Fee 2 All Results" sheetId="29" state="hidden" r:id="rId13"/>
    <sheet name="Fee 2 Match Results" sheetId="30" r:id="rId14"/>
    <sheet name="Fee 2 Error Results" sheetId="31" state="hidden" r:id="rId15"/>
    <sheet name="Fee Match Results" sheetId="37" r:id="rId16"/>
    <sheet name="Fee 2 Upload Ready" sheetId="39" r:id="rId17"/>
    <sheet name="Fee Upload Ready" sheetId="40" state="hidden" r:id="rId18"/>
  </sheets>
  <definedNames>
    <definedName name="_xleta.AND" hidden="1" xlm="1">#NAME?</definedName>
    <definedName name="_xleta.COLUMN" hidden="1" xlm="1">#NAME?</definedName>
    <definedName name="_xleta.COLUMNS" hidden="1" xlm="1">#NAME?</definedName>
    <definedName name="_xleta.COMPLEX" hidden="1" xlm="1">#NAME?</definedName>
    <definedName name="_xleta.COUNT" hidden="1" xlm="1">#NAME?</definedName>
    <definedName name="_xleta.FILTER" hidden="1" xlm="1">#NAME?</definedName>
    <definedName name="_xleta.IF" hidden="1" xlm="1">#NAME?</definedName>
    <definedName name="_xleta.NOT" hidden="1" xlm="1">#NAME?</definedName>
    <definedName name="_xleta.OR" hidden="1" xlm="1">#NAME?</definedName>
    <definedName name="_xleta.ROW" hidden="1" xlm="1">#NAME?</definedName>
    <definedName name="_xleta.SHEET" hidden="1" xlm="1">#NAME?</definedName>
    <definedName name="_xleta.SHEETS" hidden="1" xlm="1">#NAME?</definedName>
    <definedName name="_xleta.SMALL" hidden="1" xlm="1">#NAME?</definedName>
    <definedName name="_xleta.TYPE" hidden="1" xlm="1">#NAME?</definedName>
    <definedName name="_xleta.VALU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39" l="1"/>
  <c r="G3" i="39"/>
  <c r="G4" i="39"/>
  <c r="G5" i="39"/>
  <c r="G6" i="39"/>
  <c r="G7" i="39"/>
  <c r="G8" i="39"/>
  <c r="G9" i="39"/>
  <c r="G2" i="40"/>
  <c r="G3" i="40"/>
  <c r="G4" i="40"/>
  <c r="G5" i="40"/>
  <c r="G6" i="40"/>
  <c r="G7" i="40"/>
  <c r="G8" i="40"/>
  <c r="G9" i="40"/>
  <c r="G10" i="40"/>
  <c r="G11" i="40"/>
  <c r="G12" i="40"/>
  <c r="G13" i="40"/>
  <c r="G14" i="40"/>
  <c r="G15" i="40"/>
  <c r="G16" i="40"/>
  <c r="G17" i="40"/>
  <c r="G18" i="40"/>
  <c r="G19" i="40"/>
  <c r="G20" i="40"/>
  <c r="G21" i="40"/>
  <c r="G22" i="40"/>
  <c r="G23" i="40"/>
  <c r="G24" i="40"/>
  <c r="G25" i="40"/>
  <c r="E29" i="8"/>
  <c r="E28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D95747-74EE-44EC-BA62-7807D0EFC24E}" keepAlive="1" name="Query - ConfigReference" description="Connection to the 'ConfigReference' query in the workbook." type="5" refreshedVersion="0" background="1" saveData="1">
    <dbPr connection="Provider=Microsoft.Mashup.OleDb.1;Data Source=$Workbook$;Location=ConfigReference;Extended Properties=&quot;&quot;" command="SELECT * FROM [ConfigReference]"/>
  </connection>
</connections>
</file>

<file path=xl/sharedStrings.xml><?xml version="1.0" encoding="utf-8"?>
<sst xmlns="http://schemas.openxmlformats.org/spreadsheetml/2006/main" count="1244" uniqueCount="252">
  <si>
    <t>ID</t>
  </si>
  <si>
    <t>Value</t>
  </si>
  <si>
    <t>Setting</t>
  </si>
  <si>
    <t>Sheet1 Total</t>
  </si>
  <si>
    <t>Sheet2 Total</t>
  </si>
  <si>
    <t>Difference</t>
  </si>
  <si>
    <t>IsMatch</t>
  </si>
  <si>
    <t>Source Sheet</t>
  </si>
  <si>
    <t>Target Sheet</t>
  </si>
  <si>
    <t>Order</t>
  </si>
  <si>
    <t>Target Column</t>
  </si>
  <si>
    <t>Type</t>
  </si>
  <si>
    <t>Source</t>
  </si>
  <si>
    <t>Amount</t>
  </si>
  <si>
    <t>Match Results</t>
  </si>
  <si>
    <t>Tolerance</t>
  </si>
  <si>
    <t>Sort Order</t>
  </si>
  <si>
    <t>ParentID,ID</t>
  </si>
  <si>
    <t>schemas to verify if loaded files match expected</t>
  </si>
  <si>
    <t>Sheet1 ID Column</t>
  </si>
  <si>
    <t>Sheet2 ID Column</t>
  </si>
  <si>
    <t>Sheet1 Value Columns</t>
  </si>
  <si>
    <t>Sheet2 Value Columns</t>
  </si>
  <si>
    <t>Status</t>
  </si>
  <si>
    <t>Timestamp</t>
  </si>
  <si>
    <t>Workflow</t>
  </si>
  <si>
    <t>User</t>
  </si>
  <si>
    <t>johnw</t>
  </si>
  <si>
    <t>Operation</t>
  </si>
  <si>
    <t>Details</t>
  </si>
  <si>
    <t>Records</t>
  </si>
  <si>
    <t>N/A</t>
  </si>
  <si>
    <t>Success</t>
  </si>
  <si>
    <t>Reconciliation</t>
  </si>
  <si>
    <t>Transformation</t>
  </si>
  <si>
    <t>WorkflowName</t>
  </si>
  <si>
    <t>GL Monthly</t>
  </si>
  <si>
    <t>GL Daily</t>
  </si>
  <si>
    <t>Trade Journal Monthly</t>
  </si>
  <si>
    <t>Trade Journal Daily</t>
  </si>
  <si>
    <t>Sheet1 Filter</t>
  </si>
  <si>
    <t>Sheet2 Filter</t>
  </si>
  <si>
    <t>Description="Trade Journal Error"</t>
  </si>
  <si>
    <t>Amount&lt;&gt;0</t>
  </si>
  <si>
    <t>Detail Sheet</t>
  </si>
  <si>
    <t>Sheet2</t>
  </si>
  <si>
    <t>Sheet1 Additional Columns</t>
  </si>
  <si>
    <t>Sheet2 Additional Columns</t>
  </si>
  <si>
    <t>Interest</t>
  </si>
  <si>
    <t>Fee</t>
  </si>
  <si>
    <t>Loan</t>
  </si>
  <si>
    <t>Amount&lt;&gt;0,Category="Loan"</t>
  </si>
  <si>
    <t>Workflow Name</t>
  </si>
  <si>
    <t>Result Sheet Prefix</t>
  </si>
  <si>
    <t>Fee Recon</t>
  </si>
  <si>
    <t>AccountID</t>
  </si>
  <si>
    <t>Type="Fee"</t>
  </si>
  <si>
    <t>AccountID ASC</t>
  </si>
  <si>
    <t>Name</t>
  </si>
  <si>
    <t>Upload Transform</t>
  </si>
  <si>
    <t>Upload Ready</t>
  </si>
  <si>
    <t>Filter</t>
  </si>
  <si>
    <t>AccountID ASC, Date DESC</t>
  </si>
  <si>
    <t>Account ID</t>
  </si>
  <si>
    <t>EXISTING</t>
  </si>
  <si>
    <t>Account Name</t>
  </si>
  <si>
    <t>AccountName</t>
  </si>
  <si>
    <t>Transaction Type</t>
  </si>
  <si>
    <t>Currency</t>
  </si>
  <si>
    <t>STATIC</t>
  </si>
  <si>
    <t>USD</t>
  </si>
  <si>
    <t>Processing Date</t>
  </si>
  <si>
    <t>FORMULA</t>
  </si>
  <si>
    <t>Upload Batch</t>
  </si>
  <si>
    <t>Acme Corp</t>
  </si>
  <si>
    <t>Widget Inc</t>
  </si>
  <si>
    <t>Global Ltd</t>
  </si>
  <si>
    <t>Tech Solutions</t>
  </si>
  <si>
    <t>Finance Co</t>
  </si>
  <si>
    <t>Services LLC</t>
  </si>
  <si>
    <t>Consulting Group</t>
  </si>
  <si>
    <t>Investment Partners</t>
  </si>
  <si>
    <t>Solutions Inc</t>
  </si>
  <si>
    <t>Analytics Ltd</t>
  </si>
  <si>
    <t>Enterprise Co</t>
  </si>
  <si>
    <t>Transform: Upload Transform | Source: Fee Match Results | Target: Fee Upload Ready | Duration: 0.1s</t>
  </si>
  <si>
    <t>Type,Amount</t>
  </si>
  <si>
    <t>Fix Recon and Transform Config examples as they refer to columns that don't exist for loans and interest</t>
  </si>
  <si>
    <t xml:space="preserve">Turn it into one continuous process. Checkboxes? </t>
  </si>
  <si>
    <t>MessageBox</t>
  </si>
  <si>
    <t>Config: Recon Config | Matches: 8 | Errors: 4 | Tolerance: 0.05 | Detail Mode: SHEET2</t>
  </si>
  <si>
    <t>Fee Recon 2</t>
  </si>
  <si>
    <t>Fee 2</t>
  </si>
  <si>
    <t>Transform: Upload Transform | Source: Fee 2 Match Results | Target: Fee 2 Upload Ready | Duration: 0.1s</t>
  </si>
  <si>
    <t>Transform: Upload Transform | Source: Fee 2 Match Results | Target: Fee 2 Upload Ready | Duration: 0.0s</t>
  </si>
  <si>
    <t>Export</t>
  </si>
  <si>
    <t>Only rows where Type is not Exclude</t>
  </si>
  <si>
    <t>Type&lt;&gt;Exclude</t>
  </si>
  <si>
    <t>Only rows where absolute value of Amount is greater than 0.01</t>
  </si>
  <si>
    <t>ABS(Amount)&gt;0.01</t>
  </si>
  <si>
    <t>Only rows where Amount is greater than 100</t>
  </si>
  <si>
    <t>Amount&gt;100</t>
  </si>
  <si>
    <t>Only rows where Status equals Active</t>
  </si>
  <si>
    <t>Status=Active</t>
  </si>
  <si>
    <t>Description</t>
  </si>
  <si>
    <t>Example</t>
  </si>
  <si>
    <t>FILTER EXAMPLES</t>
  </si>
  <si>
    <t>Returns positive value</t>
  </si>
  <si>
    <t>Absolute value</t>
  </si>
  <si>
    <t>ABS(ColumnName)</t>
  </si>
  <si>
    <t>FILTER FUNCTIONS</t>
  </si>
  <si>
    <t>Numeric comparison</t>
  </si>
  <si>
    <t>Less than or equal to</t>
  </si>
  <si>
    <t>&lt;=</t>
  </si>
  <si>
    <t>Greater than or equal to</t>
  </si>
  <si>
    <t>&gt;=</t>
  </si>
  <si>
    <t>Less than</t>
  </si>
  <si>
    <t>&lt;</t>
  </si>
  <si>
    <t>Greater than</t>
  </si>
  <si>
    <t>&gt;</t>
  </si>
  <si>
    <t>Excludes matching values</t>
  </si>
  <si>
    <t>Not equal to</t>
  </si>
  <si>
    <t>&lt;&gt;</t>
  </si>
  <si>
    <t>Exact match comparison</t>
  </si>
  <si>
    <t>Equal to</t>
  </si>
  <si>
    <t>=</t>
  </si>
  <si>
    <t>FILTER OPERATORS</t>
  </si>
  <si>
    <t>Must be unique and sequential; cannot be empty</t>
  </si>
  <si>
    <t>Column order in the result sheet</t>
  </si>
  <si>
    <t>1 to 16384</t>
  </si>
  <si>
    <t>Number</t>
  </si>
  <si>
    <t>Required</t>
  </si>
  <si>
    <t>ReconColumnsTable</t>
  </si>
  <si>
    <t>At least one column must be TRUE</t>
  </si>
  <si>
    <t>Whether this column is part of the join key</t>
  </si>
  <si>
    <t>TRUE or FALSE</t>
  </si>
  <si>
    <t>Boolean</t>
  </si>
  <si>
    <t>IsKey</t>
  </si>
  <si>
    <t>*Required if column participates in comparison</t>
  </si>
  <si>
    <t>Column name from Sheet2</t>
  </si>
  <si>
    <t>Source column name</t>
  </si>
  <si>
    <t>Text</t>
  </si>
  <si>
    <t>Optional*</t>
  </si>
  <si>
    <t>Sheet2ColumnName</t>
  </si>
  <si>
    <t>Column name from Sheet1</t>
  </si>
  <si>
    <t>Sheet1ColumnName</t>
  </si>
  <si>
    <t>Located in Recon Config sheet</t>
  </si>
  <si>
    <t>Name of the column in the reconciliation result</t>
  </si>
  <si>
    <t>Any column name</t>
  </si>
  <si>
    <t>TargetColumnName</t>
  </si>
  <si>
    <t>Inner = matches only; Full = all rows with differences</t>
  </si>
  <si>
    <t>Type of join to perform</t>
  </si>
  <si>
    <t>Inner or Full</t>
  </si>
  <si>
    <t>JoinType</t>
  </si>
  <si>
    <t>ReconSettingsTable</t>
  </si>
  <si>
    <t>Name of the second sheet to reconcile</t>
  </si>
  <si>
    <t>Any valid sheet name</t>
  </si>
  <si>
    <t>Sheet2Name</t>
  </si>
  <si>
    <t>Name of the first sheet to reconcile</t>
  </si>
  <si>
    <t>Sheet1Name</t>
  </si>
  <si>
    <t>Leave blank for default workflow</t>
  </si>
  <si>
    <t>Workflow identifier matching TransformSettingsTable</t>
  </si>
  <si>
    <t>Any text identifier</t>
  </si>
  <si>
    <t>Optional</t>
  </si>
  <si>
    <t>TransformColumnsTable</t>
  </si>
  <si>
    <t>Examples: Status=Active or ABS(Amount)&gt;0.01</t>
  </si>
  <si>
    <t>Row-level filter using operators and functions</t>
  </si>
  <si>
    <t>Filter expression</t>
  </si>
  <si>
    <t>Column order in the target sheet</t>
  </si>
  <si>
    <t>Located in Transform Config sheet</t>
  </si>
  <si>
    <t>Name of the column in the source sheet or a calculated formula</t>
  </si>
  <si>
    <t>Source column name or formula</t>
  </si>
  <si>
    <t>SourceColumnName</t>
  </si>
  <si>
    <t>Name of the column in the target sheet</t>
  </si>
  <si>
    <t>Workflow identifier for filtering transform settings</t>
  </si>
  <si>
    <t>TransformSettingsTable</t>
  </si>
  <si>
    <t>Name of the target sheet where transformed data will be placed</t>
  </si>
  <si>
    <t>TargetSheetName</t>
  </si>
  <si>
    <t>Name of the source sheet to transform data from</t>
  </si>
  <si>
    <t>SourceSheetName</t>
  </si>
  <si>
    <t>Notes</t>
  </si>
  <si>
    <t>Valid Values</t>
  </si>
  <si>
    <t>Data Type</t>
  </si>
  <si>
    <t>Required/Optional</t>
  </si>
  <si>
    <t>Setting Name</t>
  </si>
  <si>
    <t>Table/Section</t>
  </si>
  <si>
    <t>ValueIndex</t>
  </si>
  <si>
    <t>low</t>
  </si>
  <si>
    <t>high</t>
  </si>
  <si>
    <t>Create workflow workbook external file. Saves All Results, Match Results, Error Results, Transformed sheet to new file based upon prefix naming</t>
  </si>
  <si>
    <t>med</t>
  </si>
  <si>
    <t>Set focus to recon sheet after a run</t>
  </si>
  <si>
    <t>If sheet is not found, just create it</t>
  </si>
  <si>
    <t>Validation: if there are dupes, it must be specified as a detail.</t>
  </si>
  <si>
    <t>Add Save Upload functionality</t>
  </si>
  <si>
    <t xml:space="preserve">Idea: hide all results tabs. Unhide with run. </t>
  </si>
  <si>
    <t>Task</t>
  </si>
  <si>
    <t>Add long path to file name? Maybe …\filename where … can be clicked?</t>
  </si>
  <si>
    <t>Remove Fee Recon. Doesn't work. Remove Defaults</t>
  </si>
  <si>
    <t>ABS(Amount)&gt;.05</t>
  </si>
  <si>
    <t>Export files to csv for easier use in development - Workflows, Recon Config, Transform Config</t>
  </si>
  <si>
    <t>20260304</t>
  </si>
  <si>
    <t>Config: Recon Config | Matches: 12 | Errors: 4 | Tolerance: 0.05 | Detail Mode: SHEET2</t>
  </si>
  <si>
    <t>Defaults in config for UI. Would need a new config sheet? Or maybe pull from last log?</t>
  </si>
  <si>
    <t>Activity Log style</t>
  </si>
  <si>
    <t>Transform result: Fee 2 Upload Ready | File: https://d.docs.live.net/91065edc839078b3/Documents/repos/VBA/windowsforms-recon/ExcelVBA/Fee 2 Upload Ready_2026-03-04_1730.xls</t>
  </si>
  <si>
    <t>Transform result: Fee 2 Upload Ready | File: https://d.docs.live.net/91065edc839078b3/Documents/repos/VBA/windowsforms-recon/ExcelVBA/Fee 2 Upload Ready_2026-03-04_1736.xls</t>
  </si>
  <si>
    <t>Config: Recon Config | Matches: 4 | Errors: 8 | Tolerance: 0.05 | Detail Mode: SHEET2</t>
  </si>
  <si>
    <t>Config: Recon Config | Matches: 12 | Errors: 4 | Tolerance: 0.05 | Detail Mode: None</t>
  </si>
  <si>
    <t>Column Order</t>
  </si>
  <si>
    <t>Config: Recon Config | Matches: 0 | Errors: 0 | Tolerance: 0.05 | Detail Mode: SHEET2</t>
  </si>
  <si>
    <t>ID,AccountName,Type</t>
  </si>
  <si>
    <t>Difference2</t>
  </si>
  <si>
    <t>Cust Load</t>
  </si>
  <si>
    <t>SheetName</t>
  </si>
  <si>
    <t>TableLeftHeaderIndex</t>
  </si>
  <si>
    <t>TableRightHeaderIndex</t>
  </si>
  <si>
    <t>TradeID</t>
  </si>
  <si>
    <t>NetAmount</t>
  </si>
  <si>
    <t>TotalNet</t>
  </si>
  <si>
    <t>TradeDate,Counterparty</t>
  </si>
  <si>
    <t>Sheet</t>
  </si>
  <si>
    <t>FilePattern</t>
  </si>
  <si>
    <t>Trade_*.xlsx</t>
  </si>
  <si>
    <t>Trades</t>
  </si>
  <si>
    <t>A4</t>
  </si>
  <si>
    <t>F4</t>
  </si>
  <si>
    <t>Cust Load Report</t>
  </si>
  <si>
    <t>All Results</t>
  </si>
  <si>
    <t>TradeDate</t>
  </si>
  <si>
    <t>Counterparty</t>
  </si>
  <si>
    <t>T001</t>
  </si>
  <si>
    <t>T002</t>
  </si>
  <si>
    <t>T003</t>
  </si>
  <si>
    <t>T004</t>
  </si>
  <si>
    <t>T005</t>
  </si>
  <si>
    <t>T006</t>
  </si>
  <si>
    <t>T007</t>
  </si>
  <si>
    <t>T008</t>
  </si>
  <si>
    <t>Import</t>
  </si>
  <si>
    <t>File: Trade_2026.xlsx | Target: Sheet1</t>
  </si>
  <si>
    <t>Match expected</t>
  </si>
  <si>
    <t>Mismatch expected (trade total: 198000)</t>
  </si>
  <si>
    <t>Mismatch expected (trade total: 88500)</t>
  </si>
  <si>
    <t>File: CustLoad_Reference.xlsx | Target: Sheet1</t>
  </si>
  <si>
    <t>Files(1): CustLoad_Reference.xlsx | Target: Sheet1</t>
  </si>
  <si>
    <t>Files(1): https://d.docs.live.net/91065EDC839078B3/Documents/repos/VBA/windowsforms-recon/ExcelVBA/CustLoad_Reference.xlsx | Target: Sheet1</t>
  </si>
  <si>
    <t>Files(3): https://d.docs.live.net/91065EDC839078B3/Documents/repos/VBA/windowsforms-recon/ExcelVBA/Trade_Feb2026.xlsx; https://d.docs.live.net/91065EDC839078B3/Documents/repos/VBA/windowsforms-recon/ExcelVBA/Trade_Jan2026.xlsx; https://d.docs.live.net/91065EDC839078B3/Documents/repos/VBA/windowsforms-recon/ExcelVBA/Trade_Mar2026.xlsx | Target: Sheet2</t>
  </si>
  <si>
    <t>Notional</t>
  </si>
  <si>
    <t>Counterparty C</t>
  </si>
  <si>
    <t>Counterparty B</t>
  </si>
  <si>
    <t>Counterparty 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</si>
</sst>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  <font>
      <strike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FFC8C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2" borderId="0" xfId="0" applyFont="1" applyFill="1"/>
    <xf numFmtId="4" fontId="0" fillId="0" borderId="0" xfId="0" applyNumberFormat="1"/>
    <xf numFmtId="14" fontId="0" fillId="0" borderId="0" xfId="0" applyNumberFormat="1"/>
    <xf numFmtId="0" fontId="0" fillId="3" borderId="0" xfId="0" applyFill="1"/>
    <xf numFmtId="4" fontId="0" fillId="3" borderId="0" xfId="0" applyNumberFormat="1" applyFill="1"/>
    <xf numFmtId="0" fontId="4" fillId="0" borderId="0" xfId="0" applyFont="1"/>
    <xf numFmtId="164" fontId="0" fillId="2" borderId="0" xfId="0" applyNumberFormat="1" applyFill="1"/>
    <xf numFmtId="0" fontId="0" fillId="2" borderId="0" xfId="0" applyFill="1"/>
    <xf numFmtId="164" fontId="0" fillId="2" borderId="0" xfId="0" applyNumberFormat="1" applyFont="1" applyFill="1"/>
    <xf numFmtId="0" fontId="0" fillId="2" borderId="0" xfId="0" applyFont="1" applyFill="1"/>
  </cellXfs>
  <cellStyles count="1">
    <cellStyle name="Normal" xfId="0" builtinId="0"/>
  </cellStyles>
  <dxfs count="43">
    <dxf>
      <font>
        <b val="0"/>
      </font>
      <numFmt numFmtId="164" formatCode="yyyy\-mm\-dd\ hh:mm:ss"/>
    </dxf>
    <dxf>
      <font>
        <b val="0"/>
      </font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font>
        <b/>
      </font>
      <fill>
        <patternFill patternType="solid">
          <fgColor indexed="64"/>
          <bgColor rgb="FFC8C8C8"/>
        </patternFill>
      </fill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font>
        <b/>
      </font>
      <fill>
        <patternFill patternType="solid">
          <fgColor indexed="64"/>
          <bgColor rgb="FFC8C8C8"/>
        </patternFill>
      </fill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609600</xdr:colOff>
          <xdr:row>0</xdr:row>
          <xdr:rowOff>0</xdr:rowOff>
        </xdr:from>
        <xdr:to>
          <xdr:col>4</xdr:col>
          <xdr:colOff>518160</xdr:colOff>
          <xdr:row>1</xdr:row>
          <xdr:rowOff>19050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</xdr:colOff>
          <xdr:row>0</xdr:row>
          <xdr:rowOff>26670</xdr:rowOff>
        </xdr:from>
        <xdr:to>
          <xdr:col>4</xdr:col>
          <xdr:colOff>560070</xdr:colOff>
          <xdr:row>0</xdr:row>
          <xdr:rowOff>163830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628650</xdr:colOff>
          <xdr:row>0</xdr:row>
          <xdr:rowOff>26670</xdr:rowOff>
        </xdr:from>
        <xdr:to>
          <xdr:col>7</xdr:col>
          <xdr:colOff>502920</xdr:colOff>
          <xdr:row>0</xdr:row>
          <xdr:rowOff>163830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0</xdr:row>
          <xdr:rowOff>118110</xdr:rowOff>
        </xdr:from>
        <xdr:to>
          <xdr:col>6</xdr:col>
          <xdr:colOff>137160</xdr:colOff>
          <xdr:row>3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824BBE6-AE7C-4412-81FE-24A8A4C1D3DA}" name="Table3" displayName="Table3" ref="A1:G17" totalsRowShown="0">
  <autoFilter ref="A1:G17" xr:uid="{B39C4519-4EDB-4DA7-9EB9-8E2E88FF5232}"/>
  <tableColumns count="7">
    <tableColumn id="1" xr3:uid="{FC35CC4D-158D-4EF1-BF8D-F475D57198FF}" name="Table/Section"/>
    <tableColumn id="2" xr3:uid="{D90674B6-2D9B-49D4-A78D-CB222B29923C}" name="Setting Name"/>
    <tableColumn id="3" xr3:uid="{346AA304-32AB-4151-ABF3-D3A4D2005224}" name="Required/Optional"/>
    <tableColumn id="4" xr3:uid="{C38E1F65-0B06-4A6C-8A38-84A820AD94F6}" name="Data Type"/>
    <tableColumn id="5" xr3:uid="{EB4F0D22-16E3-47E8-A30C-7582CE6F52AA}" name="Valid Values"/>
    <tableColumn id="6" xr3:uid="{D6895225-E4A7-4E90-BE32-8E772AD49F17}" name="Description"/>
    <tableColumn id="7" xr3:uid="{AB575D70-7FB8-438D-B2C6-038D5170F451}" name="Notes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8DE9DD1-F370-417E-ADB0-24C0D62066B9}" name="Table412" displayName="Table412" ref="A20:C26" totalsRowShown="0">
  <autoFilter ref="A20:C26" xr:uid="{4BAACA74-5473-4034-97F3-C84B0FB695B8}"/>
  <tableColumns count="3">
    <tableColumn id="1" xr3:uid="{A9181326-E427-4978-B92B-426923439924}" name="FILTER OPERATORS"/>
    <tableColumn id="2" xr3:uid="{5D16A504-3254-4AAD-BAE2-0C29CD9586B4}" name="Name"/>
    <tableColumn id="3" xr3:uid="{989E9755-43BB-422D-885E-AF5A6A50111B}" name="Description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D232838-9CC8-487C-AEF8-BD2B10E9D1C9}" name="Table5" displayName="Table5" ref="A28:D29" totalsRowShown="0">
  <autoFilter ref="A28:D29" xr:uid="{96BCEA48-AFEB-4339-8813-074DE247B87B}"/>
  <tableColumns count="4">
    <tableColumn id="1" xr3:uid="{920486B4-6AD4-484B-8A51-673628C13610}" name="FILTER FUNCTIONS"/>
    <tableColumn id="2" xr3:uid="{2802689D-8AF8-4192-86D1-D6E4B971F90A}" name="Name"/>
    <tableColumn id="3" xr3:uid="{7B887220-E7AE-4514-90A7-A64EAA167919}" name="Description"/>
    <tableColumn id="4" xr3:uid="{80BC88A8-A3A4-44C8-9A6E-F6100A924C0D}" name="Example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CBADCCEF-D69C-4BE4-B468-8ED536D4DFB6}" name="Table6" displayName="Table6" ref="A32:B36" totalsRowShown="0">
  <autoFilter ref="A32:B36" xr:uid="{B8CE0A3D-91B0-49DC-B2B8-3DF820F99678}"/>
  <tableColumns count="2">
    <tableColumn id="1" xr3:uid="{5FADDA66-284A-4477-8F0E-5391762B77D9}" name="Example"/>
    <tableColumn id="2" xr3:uid="{7D98C4A0-A883-41FE-8D9B-FF5B46939CE7}" name="Description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D5CB000-ED62-441A-9753-2EEACC34621D}" name="WorkflowsTable" displayName="WorkflowsTable" ref="A1:B4" totalsRowShown="0">
  <autoFilter ref="A1:B4" xr:uid="{0D5CB000-ED62-441A-9753-2EEACC34621D}"/>
  <tableColumns count="2">
    <tableColumn id="1" xr3:uid="{2CD75CB4-B4FB-4F00-8D16-88E466813EF2}" name="Workflow Name"/>
    <tableColumn id="2" xr3:uid="{DFC0575D-9665-46D4-943F-EE74D7E1328F}" name="Result Sheet Prefix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4086E27-02D3-4BAB-9A54-0224E7D9AA2D}" name="Table4" displayName="Table4" ref="A1:D5" totalsRowShown="0">
  <autoFilter ref="A1:D5" xr:uid="{54086E27-02D3-4BAB-9A54-0224E7D9AA2D}"/>
  <tableColumns count="4">
    <tableColumn id="1" xr3:uid="{6F964FB0-5B8D-4C87-A748-91E74E2C0DA4}" name="WorkflowName"/>
    <tableColumn id="2" xr3:uid="{8C60F18B-9365-414C-9E48-D8FC5E542CDD}" name="Sheet"/>
    <tableColumn id="3" xr3:uid="{055C6A6B-1995-4167-80B8-3C14A0C725A3}" name="Setting"/>
    <tableColumn id="4" xr3:uid="{82548EFC-3792-4D33-AD17-8F34886CBDFE}" name="Value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0DB9FC-46B6-4658-AFB8-DF25777769FF}" name="ReconConfigTable" displayName="ReconConfigTable" ref="A1:C34" totalsRowShown="0">
  <autoFilter ref="A1:C34" xr:uid="{E30DB9FC-46B6-4658-AFB8-DF25777769FF}"/>
  <tableColumns count="3">
    <tableColumn id="1" xr3:uid="{5FAC4FBB-B6AC-44D5-B30C-907DDFB769B8}" name="Workflow"/>
    <tableColumn id="2" xr3:uid="{09AC9202-6B07-40A8-BFFC-88519053ED12}" name="Setting"/>
    <tableColumn id="3" xr3:uid="{5D84E834-4A59-4383-93F4-EDBABD7516F7}" name="Value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85EB16AA-57F4-4622-8079-5D312F1B0EB3}" name="TransformSettingsTable" displayName="TransformSettingsTable" ref="A1:C13" totalsRowShown="0">
  <autoFilter ref="A1:C13" xr:uid="{85EB16AA-57F4-4622-8079-5D312F1B0EB3}"/>
  <tableColumns count="3">
    <tableColumn id="3" xr3:uid="{106D161C-2576-4D01-9E78-F65FC61A8770}" name="Workflow"/>
    <tableColumn id="1" xr3:uid="{10E40762-AFE1-401C-9BB6-776A1502638B}" name="Setting"/>
    <tableColumn id="2" xr3:uid="{5D4EADD0-D973-4DBA-AF18-6A44401336BA}" name="Value"/>
  </tableColumns>
  <tableStyleInfo name="TableStyleLight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651A816C-C219-4F0E-B0DD-95DBF3AFD133}" name="TransformColumnsTable" displayName="TransformColumnsTable" ref="A15:E36" totalsRowShown="0">
  <autoFilter ref="A15:E36" xr:uid="{651A816C-C219-4F0E-B0DD-95DBF3AFD133}"/>
  <tableColumns count="5">
    <tableColumn id="5" xr3:uid="{B476EF16-2179-445F-AC1E-99847BEE0E31}" name="Workflow"/>
    <tableColumn id="1" xr3:uid="{128B9236-CE30-49AA-B3ED-04EEFB1CF348}" name="Order"/>
    <tableColumn id="2" xr3:uid="{7045D9A8-02B8-4527-9E9F-171FEBF86237}" name="Target Column"/>
    <tableColumn id="3" xr3:uid="{E77B5067-5F57-4EA3-A827-F43A25CFF3B5}" name="Type"/>
    <tableColumn id="4" xr3:uid="{CBE6988D-B1DF-4AC5-9950-AB826E8AEE26}" name="Source"/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56B0E8-C869-4AAC-A727-B55BB7BE7B13}" name="ReconConfigTable4" displayName="ReconConfigTable4" ref="A1:C33" totalsRowShown="0">
  <autoFilter ref="A1:C33" xr:uid="{E30DB9FC-46B6-4658-AFB8-DF25777769FF}"/>
  <tableColumns count="3">
    <tableColumn id="1" xr3:uid="{344FCB07-A995-4110-A809-03B8EF12A874}" name="WorkflowName"/>
    <tableColumn id="2" xr3:uid="{0BE9531F-3678-4582-862F-551A1570D0C9}" name="Setting"/>
    <tableColumn id="3" xr3:uid="{D23043B4-19D1-44B7-8DFF-6F0F334E4430}" name="Value"/>
  </tableColumns>
  <tableStyleInfo name="TableStyleLight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BBF65B34-A2B2-4BF8-993E-B8C5F5F84786}" name="ActivityLogTable" displayName="ActivityLogTable_1" ref="A1:G88" totalsRowShown="0" headerRowDxfId="42" dataDxfId="41">
  <autoFilter ref="A1:G88" xr:uid="{BBF65B34-A2B2-4BF8-993E-B8C5F5F84786}"/>
  <tableColumns count="7">
    <tableColumn id="1" xr3:uid="{91948CDD-951C-40DE-A347-1A30F9BD6859}" name="Timestamp" dataDxfId="0"/>
    <tableColumn id="2" xr3:uid="{8910851E-7EFF-4E2E-A436-EAE957E90F59}" name="Operation" dataDxfId="1"/>
    <tableColumn id="3" xr3:uid="{6635118C-813A-4E7B-A909-B94CB4E2D81A}" name="Workflow" dataDxfId="40"/>
    <tableColumn id="4" xr3:uid="{75FF056E-B48D-4DC5-B91F-F017ADAC70D4}" name="Details" dataDxfId="39"/>
    <tableColumn id="5" xr3:uid="{D476FCA1-BBD8-48B7-B386-964BC79DE618}" name="Status" dataDxfId="38"/>
    <tableColumn id="6" xr3:uid="{FE549134-7A3A-4130-9C0C-1EBB0FDD7914}" name="Records" dataDxfId="37"/>
    <tableColumn id="7" xr3:uid="{0DA5D63E-7C78-42E1-A21A-549B78D23A7F}" name="User" dataDxfId="36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7" xr:uid="{47568CDB-846D-42DC-BBB7-1A2057D9CB2C}" name="ReconResultsTable" displayName="ReconResultsTable" ref="A1:F17" totalsRowShown="0" headerRowDxfId="35">
  <autoFilter ref="A1:F17" xr:uid="{47568CDB-846D-42DC-BBB7-1A2057D9CB2C}"/>
  <tableColumns count="6">
    <tableColumn id="1" xr3:uid="{482D75EE-3B45-419F-B2D5-5A5C58995DDE}" name="ID"/>
    <tableColumn id="2" xr3:uid="{2ACE77E1-3B53-443D-AFC5-B95C2FF5A5C0}" name="AccountName"/>
    <tableColumn id="3" xr3:uid="{F5F19FDC-BFE6-413F-97FF-92C145342D60}" name="IsMatch"/>
    <tableColumn id="4" xr3:uid="{651AAA1C-D3B2-40FB-9EC0-33C939207C7C}" name="Difference" dataDxfId="34"/>
    <tableColumn id="5" xr3:uid="{1B9F1F72-4ADA-4B48-8D2F-F4BC8FEF9F3F}" name="Sheet1 Total" dataDxfId="33"/>
    <tableColumn id="6" xr3:uid="{F66BB031-BE46-4CBD-BE02-73179E51A008}" name="Sheet2 Total" dataDxfId="3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9" xr:uid="{2D208E70-B1F8-435C-8F4C-807C8F8C85BA}" name="ErrorResultsTable" displayName="ErrorResultsTable_1" ref="A1:G5" totalsRowShown="0" headerRowDxfId="31" dataDxfId="30">
  <autoFilter ref="A1:G5" xr:uid="{2D208E70-B1F8-435C-8F4C-807C8F8C85BA}"/>
  <tableColumns count="7">
    <tableColumn id="1" xr3:uid="{73197130-E2D2-49BA-BDCF-A5FDE075E017}" name="Difference" dataDxfId="29"/>
    <tableColumn id="2" xr3:uid="{8CB4C4AE-CDF0-48ED-AC3A-8A715F05C484}" name="ID" dataDxfId="28"/>
    <tableColumn id="3" xr3:uid="{85410DA7-B2A5-413E-9B98-506A62DE6A7F}" name="AccountName" dataDxfId="27"/>
    <tableColumn id="4" xr3:uid="{4CE6E791-E72D-4EB3-99F7-C7C5D12DB713}" name="IsMatch" dataDxfId="26"/>
    <tableColumn id="5" xr3:uid="{32A88EB8-A965-49A9-8493-FADE49A39BC1}" name="Difference2" dataDxfId="25"/>
    <tableColumn id="6" xr3:uid="{0C612DBF-17F7-4F5A-B714-DA756F553807}" name="Sheet1 Total" dataDxfId="24"/>
    <tableColumn id="7" xr3:uid="{12C5FE26-5AAF-4832-9B32-E724FDEB84E7}" name="Sheet2 Total" dataDxfId="23"/>
  </tableColumns>
  <tableStyleInfo name="TableStyleMedium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6" xr:uid="{1DAD5157-CFCD-49EC-8EA4-850C46F01F48}" name="ReconResultsTable" displayName="ReconResultsTable_" ref="A1:F13" totalsRowShown="0" headerRowDxfId="22">
  <autoFilter ref="A1:F13" xr:uid="{1DAD5157-CFCD-49EC-8EA4-850C46F01F48}"/>
  <tableColumns count="6">
    <tableColumn id="1" xr3:uid="{50248304-E141-41B8-B5B6-CE663846359D}" name="IsMatch"/>
    <tableColumn id="2" xr3:uid="{5FAFB6E9-FE84-44D9-AF0B-F7BF6E25C9A2}" name="Difference" dataDxfId="21"/>
    <tableColumn id="3" xr3:uid="{4AC6F68F-2C79-46C2-8822-3DD23F44EA8D}" name="ID"/>
    <tableColumn id="4" xr3:uid="{4E1E3B15-DD19-4A57-8391-3A44F9C124A3}" name="Sheet1 Total" dataDxfId="20"/>
    <tableColumn id="5" xr3:uid="{F60D045F-3ABD-4445-9697-93B1066D3C6A}" name="Sheet2 Total" dataDxfId="19"/>
    <tableColumn id="6" xr3:uid="{C9CD5277-960C-4F45-8563-1576F8CAFA06}" name="AccountNam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7" xr:uid="{4103C187-823B-4AB6-8A97-6D831AA4923A}" name="MatchResultsTable" displayName="MatchResultsTable" ref="A1:F17" totalsRowShown="0" headerRowDxfId="18">
  <autoFilter ref="A1:F17" xr:uid="{4103C187-823B-4AB6-8A97-6D831AA4923A}"/>
  <tableColumns count="6">
    <tableColumn id="1" xr3:uid="{DDB76E9B-72C6-4D02-B16A-DADA8466FBB3}" name="ID"/>
    <tableColumn id="2" xr3:uid="{5F9AF2A6-4EF7-448D-86A6-54F767533869}" name="Type"/>
    <tableColumn id="3" xr3:uid="{A8744883-985A-43D6-B973-9E007E9C4779}" name="Amount"/>
    <tableColumn id="4" xr3:uid="{2114BEA9-C23E-4B48-B8FA-0E3C98917302}" name="Sheet1 Total" dataDxfId="17"/>
    <tableColumn id="5" xr3:uid="{F7819D31-AA0A-46C8-B291-EAC61848138F}" name="Sheet2 Total" dataDxfId="16"/>
    <tableColumn id="6" xr3:uid="{48CB59B7-2E7B-41D4-B501-D86A58B63B1B}" name="AccountName"/>
  </tableColumns>
  <tableStyleInfo name="TableStyleMedium3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8" xr:uid="{5BF096A1-62D7-41A2-82FE-213495AEEDA6}" name="ErrorResultsTable" displayName="ErrorResultsTable" ref="A1:E5" totalsRowShown="0" headerRowDxfId="15" dataDxfId="14">
  <autoFilter ref="A1:E5" xr:uid="{5BF096A1-62D7-41A2-82FE-213495AEEDA6}"/>
  <tableColumns count="5">
    <tableColumn id="1" xr3:uid="{04BF53CB-8EFD-456B-AC21-EEDA88D1F478}" name="Difference" dataDxfId="13"/>
    <tableColumn id="2" xr3:uid="{D313AED3-FB2C-4634-8D45-47C6A260356F}" name="ID" dataDxfId="12"/>
    <tableColumn id="3" xr3:uid="{C87B249F-1B14-40B5-A9D0-94063EDF5038}" name="Sheet1 Total" dataDxfId="11"/>
    <tableColumn id="4" xr3:uid="{56DACD6D-4DC8-4BC7-85A0-0FCF6831D86B}" name="Sheet2 Total" dataDxfId="10"/>
    <tableColumn id="5" xr3:uid="{92F633DF-AD9A-4BFC-A3F2-8B17A57EF1DC}" name="AccountName" dataDxfId="9"/>
  </tableColumns>
  <tableStyleInfo name="TableStyleMedium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8" xr:uid="{C3456E9B-E077-45C0-9BAB-C3A7098A924E}" name="MatchResultsTable" displayName="MatchResultsTable_1" ref="A1:F25" totalsRowShown="0" headerRowDxfId="8">
  <autoFilter ref="A1:F25" xr:uid="{C3456E9B-E077-45C0-9BAB-C3A7098A924E}"/>
  <tableColumns count="6">
    <tableColumn id="1" xr3:uid="{30AE90F9-D993-4A79-A5AE-64C01787FF29}" name="ID"/>
    <tableColumn id="2" xr3:uid="{34479547-7E8F-4BBA-B5BA-853B7058C13B}" name="AccountName"/>
    <tableColumn id="3" xr3:uid="{C6809F6F-6F99-4BDB-B319-9B6ED9D6EF78}" name="Type"/>
    <tableColumn id="4" xr3:uid="{432B3A99-B952-40F2-B96B-E96074C3B569}" name="Amount"/>
    <tableColumn id="5" xr3:uid="{99063E01-3899-43AE-9117-8EEEBACAA8B5}" name="Sheet1 Total" dataDxfId="7"/>
    <tableColumn id="6" xr3:uid="{5A3B90E1-8C4D-439D-B443-E9B7570BFF75}" name="Sheet2 Total" dataDxfId="6"/>
  </tableColumns>
  <tableStyleInfo name="TableStyleMedium3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1820E49-21AA-4FA5-80B6-4594BCFE31C7}" name="Table8" displayName="Table8" ref="A1:G9" totalsRowShown="0">
  <autoFilter ref="A1:G9" xr:uid="{A1820E49-21AA-4FA5-80B6-4594BCFE31C7}"/>
  <tableColumns count="7">
    <tableColumn id="1" xr3:uid="{94348A0C-2B8B-48E6-8D7C-56F549DB21BE}" name="Account ID"/>
    <tableColumn id="2" xr3:uid="{79BEAEEF-0E14-4FF5-9FE7-378BF4AEEA41}" name="Account Name"/>
    <tableColumn id="3" xr3:uid="{C09E13B2-E957-4401-AA4B-97E9F841AC2D}" name="Transaction Type"/>
    <tableColumn id="4" xr3:uid="{29B74E97-94C2-4279-A16B-26FB5B7FD6E2}" name="Amount"/>
    <tableColumn id="5" xr3:uid="{17C52D52-33AC-4FCA-AB69-67E23B1570E6}" name="Currency"/>
    <tableColumn id="6" xr3:uid="{0105AB9D-D845-4CB1-B10E-12486AA4A77C}" name="Processing Date" dataDxfId="5"/>
    <tableColumn id="7" xr3:uid="{11194028-4438-4F8D-9311-AD9E5ECE9DDA}" name="Upload Batch" dataDxfId="4">
      <calculatedColumnFormula>20260604</calculatedColumnFormula>
    </tableColumn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7" xr:uid="{AA8CCAE8-88A8-4418-AF2E-6A5A2A770C41}" name="Table127" displayName="Table127" ref="A1:G25" totalsRowShown="0">
  <autoFilter ref="A1:G25" xr:uid="{AA8CCAE8-88A8-4418-AF2E-6A5A2A770C41}"/>
  <tableColumns count="7">
    <tableColumn id="1" xr3:uid="{FDEF6517-1354-4A6A-9357-D1111F137221}" name="Account ID"/>
    <tableColumn id="2" xr3:uid="{BF6014D6-E6D8-4268-BC5C-7BECA8E91634}" name="Account Name"/>
    <tableColumn id="3" xr3:uid="{D9DF7503-A4CC-41BB-9B6E-25ABF4A1049D}" name="Transaction Type"/>
    <tableColumn id="4" xr3:uid="{A2E60D65-F5C6-4FC4-A400-D73DB79B1070}" name="Amount"/>
    <tableColumn id="5" xr3:uid="{B907F1A1-153C-4A6C-8A6E-0108231EB49C}" name="Currency"/>
    <tableColumn id="6" xr3:uid="{0DACB757-B1AB-4AF5-B7B1-F861246531F0}" name="Processing Date" dataDxfId="3"/>
    <tableColumn id="7" xr3:uid="{B0929003-949C-4215-8767-527066D5E438}" name="Upload Batch" dataDxfId="2">
      <calculatedColumnFormula>20260304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10.xml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29BF5-240E-4DE9-A4D8-978C21B9E839}">
  <sheetPr codeName="Sheet11"/>
  <dimension ref="A1:G36"/>
  <sheetViews>
    <sheetView workbookViewId="0">
      <selection activeCell="D24" sqref="D24"/>
    </sheetView>
  </sheetViews>
  <sheetFormatPr defaultRowHeight="14.4" x14ac:dyDescent="0.55000000000000004"/>
  <cols>
    <col min="1" max="1" width="19.89453125" bestFit="1" customWidth="1"/>
    <col min="2" max="2" width="24.7890625" customWidth="1"/>
    <col min="3" max="3" width="20.89453125" bestFit="1" customWidth="1"/>
    <col min="4" max="4" width="15.68359375" bestFit="1" customWidth="1"/>
    <col min="5" max="5" width="25.83984375" bestFit="1" customWidth="1"/>
    <col min="6" max="6" width="50.3671875" bestFit="1" customWidth="1"/>
    <col min="7" max="7" width="49.3125" bestFit="1" customWidth="1"/>
  </cols>
  <sheetData>
    <row r="1" spans="1:7" x14ac:dyDescent="0.55000000000000004">
      <c r="A1" t="s">
        <v>185</v>
      </c>
      <c r="B1" t="s">
        <v>184</v>
      </c>
      <c r="C1" t="s">
        <v>183</v>
      </c>
      <c r="D1" t="s">
        <v>182</v>
      </c>
      <c r="E1" t="s">
        <v>181</v>
      </c>
      <c r="F1" t="s">
        <v>104</v>
      </c>
      <c r="G1" t="s">
        <v>180</v>
      </c>
    </row>
    <row r="2" spans="1:7" x14ac:dyDescent="0.55000000000000004">
      <c r="A2" t="s">
        <v>175</v>
      </c>
      <c r="B2" t="s">
        <v>179</v>
      </c>
      <c r="C2" t="s">
        <v>131</v>
      </c>
      <c r="D2" t="s">
        <v>141</v>
      </c>
      <c r="E2" t="s">
        <v>156</v>
      </c>
      <c r="F2" t="s">
        <v>178</v>
      </c>
      <c r="G2" t="s">
        <v>169</v>
      </c>
    </row>
    <row r="3" spans="1:7" x14ac:dyDescent="0.55000000000000004">
      <c r="A3" t="s">
        <v>175</v>
      </c>
      <c r="B3" t="s">
        <v>177</v>
      </c>
      <c r="C3" t="s">
        <v>131</v>
      </c>
      <c r="D3" t="s">
        <v>141</v>
      </c>
      <c r="E3" t="s">
        <v>156</v>
      </c>
      <c r="F3" t="s">
        <v>176</v>
      </c>
      <c r="G3" t="s">
        <v>169</v>
      </c>
    </row>
    <row r="4" spans="1:7" x14ac:dyDescent="0.55000000000000004">
      <c r="A4" t="s">
        <v>175</v>
      </c>
      <c r="B4" t="s">
        <v>25</v>
      </c>
      <c r="C4" t="s">
        <v>163</v>
      </c>
      <c r="D4" t="s">
        <v>141</v>
      </c>
      <c r="E4" t="s">
        <v>162</v>
      </c>
      <c r="F4" t="s">
        <v>174</v>
      </c>
      <c r="G4" t="s">
        <v>160</v>
      </c>
    </row>
    <row r="5" spans="1:7" x14ac:dyDescent="0.55000000000000004">
      <c r="A5" t="s">
        <v>164</v>
      </c>
      <c r="B5" t="s">
        <v>149</v>
      </c>
      <c r="C5" t="s">
        <v>131</v>
      </c>
      <c r="D5" t="s">
        <v>141</v>
      </c>
      <c r="E5" t="s">
        <v>148</v>
      </c>
      <c r="F5" t="s">
        <v>173</v>
      </c>
      <c r="G5" t="s">
        <v>169</v>
      </c>
    </row>
    <row r="6" spans="1:7" x14ac:dyDescent="0.55000000000000004">
      <c r="A6" t="s">
        <v>164</v>
      </c>
      <c r="B6" t="s">
        <v>172</v>
      </c>
      <c r="C6" t="s">
        <v>131</v>
      </c>
      <c r="D6" t="s">
        <v>141</v>
      </c>
      <c r="E6" t="s">
        <v>171</v>
      </c>
      <c r="F6" t="s">
        <v>170</v>
      </c>
      <c r="G6" t="s">
        <v>169</v>
      </c>
    </row>
    <row r="7" spans="1:7" x14ac:dyDescent="0.55000000000000004">
      <c r="A7" t="s">
        <v>164</v>
      </c>
      <c r="B7" t="s">
        <v>9</v>
      </c>
      <c r="C7" t="s">
        <v>131</v>
      </c>
      <c r="D7" t="s">
        <v>130</v>
      </c>
      <c r="E7" t="s">
        <v>129</v>
      </c>
      <c r="F7" t="s">
        <v>168</v>
      </c>
      <c r="G7" t="s">
        <v>127</v>
      </c>
    </row>
    <row r="8" spans="1:7" x14ac:dyDescent="0.55000000000000004">
      <c r="A8" t="s">
        <v>164</v>
      </c>
      <c r="B8" t="s">
        <v>61</v>
      </c>
      <c r="C8" t="s">
        <v>163</v>
      </c>
      <c r="D8" t="s">
        <v>141</v>
      </c>
      <c r="E8" t="s">
        <v>167</v>
      </c>
      <c r="F8" t="s">
        <v>166</v>
      </c>
      <c r="G8" t="s">
        <v>165</v>
      </c>
    </row>
    <row r="9" spans="1:7" x14ac:dyDescent="0.55000000000000004">
      <c r="A9" t="s">
        <v>164</v>
      </c>
      <c r="B9" t="s">
        <v>25</v>
      </c>
      <c r="C9" t="s">
        <v>163</v>
      </c>
      <c r="D9" t="s">
        <v>141</v>
      </c>
      <c r="E9" t="s">
        <v>162</v>
      </c>
      <c r="F9" t="s">
        <v>161</v>
      </c>
      <c r="G9" t="s">
        <v>160</v>
      </c>
    </row>
    <row r="10" spans="1:7" x14ac:dyDescent="0.55000000000000004">
      <c r="A10" t="s">
        <v>154</v>
      </c>
      <c r="B10" t="s">
        <v>159</v>
      </c>
      <c r="C10" t="s">
        <v>131</v>
      </c>
      <c r="D10" t="s">
        <v>141</v>
      </c>
      <c r="E10" t="s">
        <v>156</v>
      </c>
      <c r="F10" t="s">
        <v>158</v>
      </c>
      <c r="G10" t="s">
        <v>146</v>
      </c>
    </row>
    <row r="11" spans="1:7" x14ac:dyDescent="0.55000000000000004">
      <c r="A11" t="s">
        <v>154</v>
      </c>
      <c r="B11" t="s">
        <v>157</v>
      </c>
      <c r="C11" t="s">
        <v>131</v>
      </c>
      <c r="D11" t="s">
        <v>141</v>
      </c>
      <c r="E11" t="s">
        <v>156</v>
      </c>
      <c r="F11" t="s">
        <v>155</v>
      </c>
      <c r="G11" t="s">
        <v>146</v>
      </c>
    </row>
    <row r="12" spans="1:7" x14ac:dyDescent="0.55000000000000004">
      <c r="A12" t="s">
        <v>154</v>
      </c>
      <c r="B12" t="s">
        <v>153</v>
      </c>
      <c r="C12" t="s">
        <v>131</v>
      </c>
      <c r="D12" t="s">
        <v>141</v>
      </c>
      <c r="E12" t="s">
        <v>152</v>
      </c>
      <c r="F12" t="s">
        <v>151</v>
      </c>
      <c r="G12" t="s">
        <v>150</v>
      </c>
    </row>
    <row r="13" spans="1:7" x14ac:dyDescent="0.55000000000000004">
      <c r="A13" t="s">
        <v>132</v>
      </c>
      <c r="B13" t="s">
        <v>149</v>
      </c>
      <c r="C13" t="s">
        <v>131</v>
      </c>
      <c r="D13" t="s">
        <v>141</v>
      </c>
      <c r="E13" t="s">
        <v>148</v>
      </c>
      <c r="F13" t="s">
        <v>147</v>
      </c>
      <c r="G13" t="s">
        <v>146</v>
      </c>
    </row>
    <row r="14" spans="1:7" x14ac:dyDescent="0.55000000000000004">
      <c r="A14" t="s">
        <v>132</v>
      </c>
      <c r="B14" t="s">
        <v>145</v>
      </c>
      <c r="C14" t="s">
        <v>142</v>
      </c>
      <c r="D14" t="s">
        <v>141</v>
      </c>
      <c r="E14" t="s">
        <v>140</v>
      </c>
      <c r="F14" t="s">
        <v>144</v>
      </c>
      <c r="G14" t="s">
        <v>138</v>
      </c>
    </row>
    <row r="15" spans="1:7" x14ac:dyDescent="0.55000000000000004">
      <c r="A15" t="s">
        <v>132</v>
      </c>
      <c r="B15" t="s">
        <v>143</v>
      </c>
      <c r="C15" t="s">
        <v>142</v>
      </c>
      <c r="D15" t="s">
        <v>141</v>
      </c>
      <c r="E15" t="s">
        <v>140</v>
      </c>
      <c r="F15" t="s">
        <v>139</v>
      </c>
      <c r="G15" t="s">
        <v>138</v>
      </c>
    </row>
    <row r="16" spans="1:7" x14ac:dyDescent="0.55000000000000004">
      <c r="A16" t="s">
        <v>132</v>
      </c>
      <c r="B16" t="s">
        <v>137</v>
      </c>
      <c r="C16" t="s">
        <v>131</v>
      </c>
      <c r="D16" t="s">
        <v>136</v>
      </c>
      <c r="E16" t="s">
        <v>135</v>
      </c>
      <c r="F16" t="s">
        <v>134</v>
      </c>
      <c r="G16" t="s">
        <v>133</v>
      </c>
    </row>
    <row r="17" spans="1:7" x14ac:dyDescent="0.55000000000000004">
      <c r="A17" t="s">
        <v>132</v>
      </c>
      <c r="B17" t="s">
        <v>9</v>
      </c>
      <c r="C17" t="s">
        <v>131</v>
      </c>
      <c r="D17" t="s">
        <v>130</v>
      </c>
      <c r="E17" t="s">
        <v>129</v>
      </c>
      <c r="F17" t="s">
        <v>128</v>
      </c>
      <c r="G17" t="s">
        <v>127</v>
      </c>
    </row>
    <row r="20" spans="1:7" x14ac:dyDescent="0.55000000000000004">
      <c r="A20" t="s">
        <v>126</v>
      </c>
      <c r="B20" t="s">
        <v>58</v>
      </c>
      <c r="C20" t="s">
        <v>104</v>
      </c>
    </row>
    <row r="21" spans="1:7" x14ac:dyDescent="0.55000000000000004">
      <c r="A21" t="s">
        <v>125</v>
      </c>
      <c r="B21" t="s">
        <v>124</v>
      </c>
      <c r="C21" t="s">
        <v>123</v>
      </c>
    </row>
    <row r="22" spans="1:7" x14ac:dyDescent="0.55000000000000004">
      <c r="A22" t="s">
        <v>122</v>
      </c>
      <c r="B22" t="s">
        <v>121</v>
      </c>
      <c r="C22" t="s">
        <v>120</v>
      </c>
    </row>
    <row r="23" spans="1:7" x14ac:dyDescent="0.55000000000000004">
      <c r="A23" t="s">
        <v>119</v>
      </c>
      <c r="B23" t="s">
        <v>118</v>
      </c>
      <c r="C23" t="s">
        <v>111</v>
      </c>
    </row>
    <row r="24" spans="1:7" x14ac:dyDescent="0.55000000000000004">
      <c r="A24" t="s">
        <v>117</v>
      </c>
      <c r="B24" t="s">
        <v>116</v>
      </c>
      <c r="C24" t="s">
        <v>111</v>
      </c>
    </row>
    <row r="25" spans="1:7" x14ac:dyDescent="0.55000000000000004">
      <c r="A25" t="s">
        <v>115</v>
      </c>
      <c r="B25" t="s">
        <v>114</v>
      </c>
      <c r="C25" t="s">
        <v>111</v>
      </c>
    </row>
    <row r="26" spans="1:7" x14ac:dyDescent="0.55000000000000004">
      <c r="A26" t="s">
        <v>113</v>
      </c>
      <c r="B26" t="s">
        <v>112</v>
      </c>
      <c r="C26" t="s">
        <v>111</v>
      </c>
    </row>
    <row r="28" spans="1:7" x14ac:dyDescent="0.55000000000000004">
      <c r="A28" t="s">
        <v>110</v>
      </c>
      <c r="B28" t="s">
        <v>58</v>
      </c>
      <c r="C28" t="s">
        <v>104</v>
      </c>
      <c r="D28" t="s">
        <v>105</v>
      </c>
    </row>
    <row r="29" spans="1:7" x14ac:dyDescent="0.55000000000000004">
      <c r="A29" t="s">
        <v>109</v>
      </c>
      <c r="B29" t="s">
        <v>108</v>
      </c>
      <c r="C29" t="s">
        <v>107</v>
      </c>
      <c r="D29" t="s">
        <v>99</v>
      </c>
    </row>
    <row r="31" spans="1:7" x14ac:dyDescent="0.55000000000000004">
      <c r="A31" t="s">
        <v>106</v>
      </c>
    </row>
    <row r="32" spans="1:7" x14ac:dyDescent="0.55000000000000004">
      <c r="A32" t="s">
        <v>105</v>
      </c>
      <c r="B32" t="s">
        <v>104</v>
      </c>
    </row>
    <row r="33" spans="1:2" x14ac:dyDescent="0.55000000000000004">
      <c r="A33" t="s">
        <v>103</v>
      </c>
      <c r="B33" t="s">
        <v>102</v>
      </c>
    </row>
    <row r="34" spans="1:2" x14ac:dyDescent="0.55000000000000004">
      <c r="A34" t="s">
        <v>101</v>
      </c>
      <c r="B34" t="s">
        <v>100</v>
      </c>
    </row>
    <row r="35" spans="1:2" x14ac:dyDescent="0.55000000000000004">
      <c r="A35" t="s">
        <v>99</v>
      </c>
      <c r="B35" t="s">
        <v>98</v>
      </c>
    </row>
    <row r="36" spans="1:2" x14ac:dyDescent="0.55000000000000004">
      <c r="A36" t="s">
        <v>97</v>
      </c>
      <c r="B36" t="s">
        <v>96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85C28-AA7B-4CA3-93E9-CC872895E754}">
  <sheetPr codeName="Sheet7"/>
  <dimension ref="A1:C17"/>
  <sheetViews>
    <sheetView workbookViewId="0">
      <selection activeCell="C12" sqref="C12"/>
    </sheetView>
  </sheetViews>
  <sheetFormatPr defaultRowHeight="14.4" x14ac:dyDescent="0.55000000000000004"/>
  <cols>
    <col min="1" max="1" width="9.3125" bestFit="1" customWidth="1"/>
    <col min="3" max="3" width="112.5234375" bestFit="1" customWidth="1"/>
  </cols>
  <sheetData>
    <row r="1" spans="1:3" x14ac:dyDescent="0.55000000000000004">
      <c r="A1" t="s">
        <v>186</v>
      </c>
      <c r="B1" t="s">
        <v>1</v>
      </c>
    </row>
    <row r="2" spans="1:3" x14ac:dyDescent="0.55000000000000004">
      <c r="C2" t="s">
        <v>87</v>
      </c>
    </row>
    <row r="3" spans="1:3" x14ac:dyDescent="0.55000000000000004">
      <c r="A3" t="s">
        <v>186</v>
      </c>
      <c r="B3" t="s">
        <v>1</v>
      </c>
      <c r="C3" t="s">
        <v>196</v>
      </c>
    </row>
    <row r="4" spans="1:3" x14ac:dyDescent="0.55000000000000004">
      <c r="A4" s="6">
        <v>3</v>
      </c>
      <c r="B4" s="6" t="s">
        <v>188</v>
      </c>
      <c r="C4" s="6" t="s">
        <v>194</v>
      </c>
    </row>
    <row r="5" spans="1:3" x14ac:dyDescent="0.55000000000000004">
      <c r="A5" s="6">
        <v>3</v>
      </c>
      <c r="B5" s="6" t="s">
        <v>188</v>
      </c>
      <c r="C5" s="6" t="s">
        <v>191</v>
      </c>
    </row>
    <row r="6" spans="1:3" x14ac:dyDescent="0.55000000000000004">
      <c r="A6" s="6">
        <v>3</v>
      </c>
      <c r="B6" s="6" t="s">
        <v>188</v>
      </c>
      <c r="C6" s="6" t="s">
        <v>195</v>
      </c>
    </row>
    <row r="7" spans="1:3" x14ac:dyDescent="0.55000000000000004">
      <c r="A7">
        <v>1</v>
      </c>
      <c r="B7" t="s">
        <v>187</v>
      </c>
      <c r="C7" t="s">
        <v>203</v>
      </c>
    </row>
    <row r="8" spans="1:3" x14ac:dyDescent="0.55000000000000004">
      <c r="A8">
        <v>2</v>
      </c>
      <c r="B8" t="s">
        <v>190</v>
      </c>
      <c r="C8" t="s">
        <v>89</v>
      </c>
    </row>
    <row r="9" spans="1:3" x14ac:dyDescent="0.55000000000000004">
      <c r="A9" s="6">
        <v>2</v>
      </c>
      <c r="B9" s="6" t="s">
        <v>190</v>
      </c>
      <c r="C9" s="6" t="s">
        <v>192</v>
      </c>
    </row>
    <row r="10" spans="1:3" x14ac:dyDescent="0.55000000000000004">
      <c r="A10">
        <v>1</v>
      </c>
      <c r="B10" t="s">
        <v>187</v>
      </c>
      <c r="C10" t="s">
        <v>18</v>
      </c>
    </row>
    <row r="11" spans="1:3" x14ac:dyDescent="0.55000000000000004">
      <c r="A11">
        <v>1</v>
      </c>
      <c r="B11" t="s">
        <v>187</v>
      </c>
      <c r="C11" t="s">
        <v>88</v>
      </c>
    </row>
    <row r="12" spans="1:3" x14ac:dyDescent="0.55000000000000004">
      <c r="A12">
        <v>1</v>
      </c>
      <c r="B12" t="s">
        <v>187</v>
      </c>
      <c r="C12" t="s">
        <v>189</v>
      </c>
    </row>
    <row r="13" spans="1:3" x14ac:dyDescent="0.55000000000000004">
      <c r="A13" s="6">
        <v>1</v>
      </c>
      <c r="B13" s="6" t="s">
        <v>187</v>
      </c>
      <c r="C13" s="6" t="s">
        <v>193</v>
      </c>
    </row>
    <row r="14" spans="1:3" x14ac:dyDescent="0.55000000000000004">
      <c r="A14" s="6">
        <v>2</v>
      </c>
      <c r="B14" s="6" t="s">
        <v>190</v>
      </c>
      <c r="C14" s="6" t="s">
        <v>197</v>
      </c>
    </row>
    <row r="15" spans="1:3" x14ac:dyDescent="0.55000000000000004">
      <c r="A15" s="6">
        <v>2</v>
      </c>
      <c r="B15" s="6" t="s">
        <v>190</v>
      </c>
      <c r="C15" s="6" t="s">
        <v>198</v>
      </c>
    </row>
    <row r="16" spans="1:3" x14ac:dyDescent="0.55000000000000004">
      <c r="A16" s="6"/>
      <c r="B16" s="6"/>
      <c r="C16" s="6" t="s">
        <v>200</v>
      </c>
    </row>
    <row r="17" spans="1:3" x14ac:dyDescent="0.55000000000000004">
      <c r="A17" s="6"/>
      <c r="B17" s="6"/>
      <c r="C17" s="6" t="s">
        <v>204</v>
      </c>
    </row>
  </sheetData>
  <sortState xmlns:xlrd2="http://schemas.microsoft.com/office/spreadsheetml/2017/richdata2" ref="A4:C13">
    <sortCondition descending="1" ref="A4:A1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C62EB-83DF-44E5-87E9-1E02BF8BDDB9}">
  <sheetPr codeName="Sheet12"/>
  <dimension ref="A1:B4"/>
  <sheetViews>
    <sheetView workbookViewId="0">
      <pane ySplit="1" topLeftCell="A2" activePane="bottomLeft" state="frozen"/>
      <selection pane="bottomLeft" activeCell="A4" sqref="A4"/>
    </sheetView>
  </sheetViews>
  <sheetFormatPr defaultRowHeight="14.4" x14ac:dyDescent="0.55000000000000004"/>
  <cols>
    <col min="1" max="1" width="18.05078125" bestFit="1" customWidth="1"/>
    <col min="2" max="2" width="24.3671875" bestFit="1" customWidth="1"/>
  </cols>
  <sheetData>
    <row r="1" spans="1:2" x14ac:dyDescent="0.55000000000000004">
      <c r="A1" t="s">
        <v>52</v>
      </c>
      <c r="B1" t="s">
        <v>53</v>
      </c>
    </row>
    <row r="2" spans="1:2" x14ac:dyDescent="0.55000000000000004">
      <c r="A2" t="s">
        <v>91</v>
      </c>
      <c r="B2" t="s">
        <v>92</v>
      </c>
    </row>
    <row r="3" spans="1:2" x14ac:dyDescent="0.55000000000000004">
      <c r="A3" t="s">
        <v>54</v>
      </c>
      <c r="B3" t="s">
        <v>49</v>
      </c>
    </row>
    <row r="4" spans="1:2" x14ac:dyDescent="0.55000000000000004">
      <c r="A4" t="s">
        <v>213</v>
      </c>
      <c r="B4" t="s">
        <v>213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ShowReconForm">
                <anchor moveWithCells="1" sizeWithCells="1">
                  <from>
                    <xdr:col>2</xdr:col>
                    <xdr:colOff>609600</xdr:colOff>
                    <xdr:row>0</xdr:row>
                    <xdr:rowOff>0</xdr:rowOff>
                  </from>
                  <to>
                    <xdr:col>4</xdr:col>
                    <xdr:colOff>518160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02512-749A-4637-BB7E-A38C5D845CF4}">
  <sheetPr codeName="Sheet9"/>
  <dimension ref="A1:D5"/>
  <sheetViews>
    <sheetView workbookViewId="0">
      <selection sqref="A1:D5"/>
    </sheetView>
  </sheetViews>
  <sheetFormatPr defaultRowHeight="14.4" x14ac:dyDescent="0.55000000000000004"/>
  <cols>
    <col min="1" max="1" width="9.83984375" customWidth="1"/>
    <col min="2" max="2" width="18.89453125" bestFit="1" customWidth="1"/>
    <col min="4" max="4" width="10.15625" bestFit="1" customWidth="1"/>
    <col min="6" max="6" width="35.9453125" bestFit="1" customWidth="1"/>
  </cols>
  <sheetData>
    <row r="1" spans="1:4" x14ac:dyDescent="0.55000000000000004">
      <c r="A1" t="s">
        <v>35</v>
      </c>
      <c r="B1" t="s">
        <v>221</v>
      </c>
      <c r="C1" t="s">
        <v>2</v>
      </c>
      <c r="D1" t="s">
        <v>1</v>
      </c>
    </row>
    <row r="2" spans="1:4" x14ac:dyDescent="0.55000000000000004">
      <c r="A2" t="s">
        <v>213</v>
      </c>
      <c r="B2" t="s">
        <v>45</v>
      </c>
      <c r="C2" t="s">
        <v>222</v>
      </c>
      <c r="D2" t="s">
        <v>223</v>
      </c>
    </row>
    <row r="3" spans="1:4" x14ac:dyDescent="0.55000000000000004">
      <c r="A3" t="s">
        <v>213</v>
      </c>
      <c r="B3" t="s">
        <v>45</v>
      </c>
      <c r="C3" t="s">
        <v>214</v>
      </c>
      <c r="D3" t="s">
        <v>224</v>
      </c>
    </row>
    <row r="4" spans="1:4" x14ac:dyDescent="0.55000000000000004">
      <c r="A4" t="s">
        <v>213</v>
      </c>
      <c r="B4" t="s">
        <v>45</v>
      </c>
      <c r="C4" t="s">
        <v>215</v>
      </c>
      <c r="D4" t="s">
        <v>225</v>
      </c>
    </row>
    <row r="5" spans="1:4" x14ac:dyDescent="0.55000000000000004">
      <c r="A5" t="s">
        <v>213</v>
      </c>
      <c r="B5" t="s">
        <v>45</v>
      </c>
      <c r="C5" t="s">
        <v>216</v>
      </c>
      <c r="D5" t="s">
        <v>226</v>
      </c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100E9-3316-4924-B0AB-DE11199EA2AC}">
  <sheetPr codeName="Sheet1"/>
  <dimension ref="A1:C34"/>
  <sheetViews>
    <sheetView workbookViewId="0">
      <pane ySplit="1" topLeftCell="A11" activePane="bottomLeft" state="frozen"/>
      <selection pane="bottomLeft" activeCell="C34" sqref="C34"/>
    </sheetView>
  </sheetViews>
  <sheetFormatPr defaultRowHeight="14.4" x14ac:dyDescent="0.55000000000000004"/>
  <cols>
    <col min="1" max="1" width="12.734375" bestFit="1" customWidth="1"/>
    <col min="2" max="2" width="22" bestFit="1" customWidth="1"/>
    <col min="3" max="3" width="31.5234375" bestFit="1" customWidth="1"/>
  </cols>
  <sheetData>
    <row r="1" spans="1:3" x14ac:dyDescent="0.55000000000000004">
      <c r="A1" t="s">
        <v>25</v>
      </c>
      <c r="B1" t="s">
        <v>2</v>
      </c>
      <c r="C1" t="s">
        <v>1</v>
      </c>
    </row>
    <row r="2" spans="1:3" x14ac:dyDescent="0.55000000000000004">
      <c r="A2" t="s">
        <v>91</v>
      </c>
      <c r="B2" t="s">
        <v>19</v>
      </c>
      <c r="C2" t="s">
        <v>55</v>
      </c>
    </row>
    <row r="3" spans="1:3" x14ac:dyDescent="0.55000000000000004">
      <c r="A3" t="s">
        <v>91</v>
      </c>
      <c r="B3" t="s">
        <v>20</v>
      </c>
      <c r="C3" t="s">
        <v>55</v>
      </c>
    </row>
    <row r="4" spans="1:3" x14ac:dyDescent="0.55000000000000004">
      <c r="A4" t="s">
        <v>91</v>
      </c>
      <c r="B4" t="s">
        <v>21</v>
      </c>
      <c r="C4" t="s">
        <v>13</v>
      </c>
    </row>
    <row r="5" spans="1:3" x14ac:dyDescent="0.55000000000000004">
      <c r="A5" t="s">
        <v>91</v>
      </c>
      <c r="B5" t="s">
        <v>22</v>
      </c>
      <c r="C5" t="s">
        <v>13</v>
      </c>
    </row>
    <row r="6" spans="1:3" x14ac:dyDescent="0.55000000000000004">
      <c r="A6" t="s">
        <v>91</v>
      </c>
      <c r="B6" t="s">
        <v>46</v>
      </c>
      <c r="C6" t="s">
        <v>66</v>
      </c>
    </row>
    <row r="7" spans="1:3" x14ac:dyDescent="0.55000000000000004">
      <c r="A7" t="s">
        <v>91</v>
      </c>
      <c r="B7" t="s">
        <v>47</v>
      </c>
      <c r="C7" t="s">
        <v>86</v>
      </c>
    </row>
    <row r="8" spans="1:3" x14ac:dyDescent="0.55000000000000004">
      <c r="A8" t="s">
        <v>91</v>
      </c>
      <c r="B8" t="s">
        <v>40</v>
      </c>
      <c r="C8" t="s">
        <v>56</v>
      </c>
    </row>
    <row r="9" spans="1:3" x14ac:dyDescent="0.55000000000000004">
      <c r="A9" t="s">
        <v>91</v>
      </c>
      <c r="B9" t="s">
        <v>41</v>
      </c>
      <c r="C9" t="s">
        <v>56</v>
      </c>
    </row>
    <row r="10" spans="1:3" x14ac:dyDescent="0.55000000000000004">
      <c r="A10" t="s">
        <v>91</v>
      </c>
      <c r="B10" t="s">
        <v>15</v>
      </c>
      <c r="C10">
        <v>0.05</v>
      </c>
    </row>
    <row r="11" spans="1:3" x14ac:dyDescent="0.55000000000000004">
      <c r="A11" t="s">
        <v>91</v>
      </c>
      <c r="B11" t="s">
        <v>44</v>
      </c>
      <c r="C11" t="s">
        <v>45</v>
      </c>
    </row>
    <row r="12" spans="1:3" x14ac:dyDescent="0.55000000000000004">
      <c r="A12" t="s">
        <v>91</v>
      </c>
      <c r="B12" t="s">
        <v>16</v>
      </c>
      <c r="C12" t="s">
        <v>57</v>
      </c>
    </row>
    <row r="13" spans="1:3" x14ac:dyDescent="0.55000000000000004">
      <c r="A13" t="s">
        <v>54</v>
      </c>
      <c r="B13" t="s">
        <v>19</v>
      </c>
      <c r="C13" t="s">
        <v>55</v>
      </c>
    </row>
    <row r="14" spans="1:3" x14ac:dyDescent="0.55000000000000004">
      <c r="A14" t="s">
        <v>54</v>
      </c>
      <c r="B14" t="s">
        <v>20</v>
      </c>
      <c r="C14" t="s">
        <v>55</v>
      </c>
    </row>
    <row r="15" spans="1:3" x14ac:dyDescent="0.55000000000000004">
      <c r="A15" t="s">
        <v>54</v>
      </c>
      <c r="B15" t="s">
        <v>21</v>
      </c>
      <c r="C15" t="s">
        <v>13</v>
      </c>
    </row>
    <row r="16" spans="1:3" x14ac:dyDescent="0.55000000000000004">
      <c r="A16" t="s">
        <v>54</v>
      </c>
      <c r="B16" t="s">
        <v>22</v>
      </c>
      <c r="C16" t="s">
        <v>13</v>
      </c>
    </row>
    <row r="17" spans="1:3" x14ac:dyDescent="0.55000000000000004">
      <c r="A17" t="s">
        <v>54</v>
      </c>
      <c r="B17" t="s">
        <v>46</v>
      </c>
      <c r="C17" t="s">
        <v>66</v>
      </c>
    </row>
    <row r="18" spans="1:3" x14ac:dyDescent="0.55000000000000004">
      <c r="A18" t="s">
        <v>54</v>
      </c>
      <c r="B18" t="s">
        <v>47</v>
      </c>
      <c r="C18" t="s">
        <v>86</v>
      </c>
    </row>
    <row r="19" spans="1:3" x14ac:dyDescent="0.55000000000000004">
      <c r="A19" t="s">
        <v>54</v>
      </c>
      <c r="B19" t="s">
        <v>15</v>
      </c>
      <c r="C19">
        <v>0.05</v>
      </c>
    </row>
    <row r="20" spans="1:3" x14ac:dyDescent="0.55000000000000004">
      <c r="A20" t="s">
        <v>54</v>
      </c>
      <c r="B20" t="s">
        <v>44</v>
      </c>
      <c r="C20" t="s">
        <v>45</v>
      </c>
    </row>
    <row r="21" spans="1:3" x14ac:dyDescent="0.55000000000000004">
      <c r="A21" t="s">
        <v>54</v>
      </c>
      <c r="B21" t="s">
        <v>16</v>
      </c>
      <c r="C21" t="s">
        <v>57</v>
      </c>
    </row>
    <row r="22" spans="1:3" x14ac:dyDescent="0.55000000000000004">
      <c r="A22" t="s">
        <v>54</v>
      </c>
      <c r="B22" t="s">
        <v>209</v>
      </c>
      <c r="C22" t="s">
        <v>211</v>
      </c>
    </row>
    <row r="23" spans="1:3" x14ac:dyDescent="0.55000000000000004">
      <c r="A23" t="s">
        <v>213</v>
      </c>
      <c r="B23" t="s">
        <v>19</v>
      </c>
      <c r="C23" t="s">
        <v>217</v>
      </c>
    </row>
    <row r="24" spans="1:3" x14ac:dyDescent="0.55000000000000004">
      <c r="A24" t="s">
        <v>213</v>
      </c>
      <c r="B24" t="s">
        <v>20</v>
      </c>
      <c r="C24" t="s">
        <v>217</v>
      </c>
    </row>
    <row r="25" spans="1:3" x14ac:dyDescent="0.55000000000000004">
      <c r="A25" t="s">
        <v>213</v>
      </c>
      <c r="B25" t="s">
        <v>21</v>
      </c>
      <c r="C25" t="s">
        <v>218</v>
      </c>
    </row>
    <row r="26" spans="1:3" x14ac:dyDescent="0.55000000000000004">
      <c r="A26" t="s">
        <v>213</v>
      </c>
      <c r="B26" t="s">
        <v>22</v>
      </c>
      <c r="C26" t="s">
        <v>219</v>
      </c>
    </row>
    <row r="27" spans="1:3" x14ac:dyDescent="0.55000000000000004">
      <c r="A27" t="s">
        <v>213</v>
      </c>
      <c r="B27" t="s">
        <v>46</v>
      </c>
      <c r="C27" t="s">
        <v>220</v>
      </c>
    </row>
    <row r="28" spans="1:3" x14ac:dyDescent="0.55000000000000004">
      <c r="A28" t="s">
        <v>213</v>
      </c>
      <c r="B28" t="s">
        <v>15</v>
      </c>
      <c r="C28">
        <v>0.01</v>
      </c>
    </row>
    <row r="29" spans="1:3" x14ac:dyDescent="0.55000000000000004">
      <c r="A29" t="s">
        <v>213</v>
      </c>
      <c r="B29" t="s">
        <v>19</v>
      </c>
      <c r="C29" t="s">
        <v>217</v>
      </c>
    </row>
    <row r="30" spans="1:3" x14ac:dyDescent="0.55000000000000004">
      <c r="A30" t="s">
        <v>213</v>
      </c>
      <c r="B30" t="s">
        <v>20</v>
      </c>
      <c r="C30" t="s">
        <v>217</v>
      </c>
    </row>
    <row r="31" spans="1:3" x14ac:dyDescent="0.55000000000000004">
      <c r="A31" t="s">
        <v>213</v>
      </c>
      <c r="B31" t="s">
        <v>21</v>
      </c>
      <c r="C31" t="s">
        <v>219</v>
      </c>
    </row>
    <row r="32" spans="1:3" x14ac:dyDescent="0.55000000000000004">
      <c r="A32" t="s">
        <v>213</v>
      </c>
      <c r="B32" t="s">
        <v>22</v>
      </c>
      <c r="C32" t="s">
        <v>218</v>
      </c>
    </row>
    <row r="33" spans="1:3" x14ac:dyDescent="0.55000000000000004">
      <c r="A33" t="s">
        <v>213</v>
      </c>
      <c r="B33" t="s">
        <v>47</v>
      </c>
      <c r="C33" t="s">
        <v>220</v>
      </c>
    </row>
    <row r="34" spans="1:3" x14ac:dyDescent="0.55000000000000004">
      <c r="A34" t="s">
        <v>213</v>
      </c>
      <c r="B34" t="s">
        <v>15</v>
      </c>
      <c r="C34">
        <v>0.01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ReconForm">
                <anchor moveWithCells="1" sizeWithCells="1">
                  <from>
                    <xdr:col>3</xdr:col>
                    <xdr:colOff>45720</xdr:colOff>
                    <xdr:row>0</xdr:row>
                    <xdr:rowOff>26670</xdr:rowOff>
                  </from>
                  <to>
                    <xdr:col>4</xdr:col>
                    <xdr:colOff>560070</xdr:colOff>
                    <xdr:row>0</xdr:row>
                    <xdr:rowOff>163830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4F63A-F07C-4398-B840-552FC306EA58}">
  <sheetPr codeName="Sheet8"/>
  <dimension ref="A1:E36"/>
  <sheetViews>
    <sheetView topLeftCell="A13" workbookViewId="0">
      <selection activeCell="A30" sqref="A30"/>
    </sheetView>
  </sheetViews>
  <sheetFormatPr defaultRowHeight="14.4" x14ac:dyDescent="0.55000000000000004"/>
  <cols>
    <col min="1" max="1" width="13.62890625" bestFit="1" customWidth="1"/>
    <col min="2" max="2" width="11" bestFit="1" customWidth="1"/>
    <col min="3" max="3" width="37.3125" bestFit="1" customWidth="1"/>
    <col min="4" max="4" width="14" bestFit="1" customWidth="1"/>
    <col min="5" max="5" width="15" bestFit="1" customWidth="1"/>
  </cols>
  <sheetData>
    <row r="1" spans="1:5" x14ac:dyDescent="0.55000000000000004">
      <c r="A1" t="s">
        <v>25</v>
      </c>
      <c r="B1" t="s">
        <v>2</v>
      </c>
      <c r="C1" t="s">
        <v>1</v>
      </c>
    </row>
    <row r="2" spans="1:5" x14ac:dyDescent="0.55000000000000004">
      <c r="A2" t="s">
        <v>91</v>
      </c>
      <c r="B2" t="s">
        <v>58</v>
      </c>
      <c r="C2" t="s">
        <v>59</v>
      </c>
    </row>
    <row r="3" spans="1:5" x14ac:dyDescent="0.55000000000000004">
      <c r="A3" t="s">
        <v>91</v>
      </c>
      <c r="B3" t="s">
        <v>7</v>
      </c>
      <c r="C3" t="s">
        <v>14</v>
      </c>
    </row>
    <row r="4" spans="1:5" x14ac:dyDescent="0.55000000000000004">
      <c r="A4" t="s">
        <v>91</v>
      </c>
      <c r="B4" t="s">
        <v>8</v>
      </c>
      <c r="C4" t="s">
        <v>60</v>
      </c>
    </row>
    <row r="5" spans="1:5" x14ac:dyDescent="0.55000000000000004">
      <c r="A5" t="s">
        <v>91</v>
      </c>
      <c r="B5" t="s">
        <v>61</v>
      </c>
      <c r="C5" t="s">
        <v>199</v>
      </c>
    </row>
    <row r="6" spans="1:5" x14ac:dyDescent="0.55000000000000004">
      <c r="A6" t="s">
        <v>91</v>
      </c>
      <c r="B6" t="s">
        <v>16</v>
      </c>
      <c r="C6" t="s">
        <v>62</v>
      </c>
    </row>
    <row r="7" spans="1:5" x14ac:dyDescent="0.55000000000000004">
      <c r="A7" t="s">
        <v>54</v>
      </c>
      <c r="B7" t="s">
        <v>58</v>
      </c>
      <c r="C7" t="s">
        <v>59</v>
      </c>
    </row>
    <row r="8" spans="1:5" x14ac:dyDescent="0.55000000000000004">
      <c r="A8" t="s">
        <v>54</v>
      </c>
      <c r="B8" t="s">
        <v>7</v>
      </c>
      <c r="C8" t="s">
        <v>14</v>
      </c>
    </row>
    <row r="9" spans="1:5" x14ac:dyDescent="0.55000000000000004">
      <c r="A9" t="s">
        <v>54</v>
      </c>
      <c r="B9" t="s">
        <v>8</v>
      </c>
      <c r="C9" t="s">
        <v>60</v>
      </c>
    </row>
    <row r="10" spans="1:5" x14ac:dyDescent="0.55000000000000004">
      <c r="A10" t="s">
        <v>54</v>
      </c>
      <c r="B10" t="s">
        <v>16</v>
      </c>
      <c r="C10" t="s">
        <v>62</v>
      </c>
    </row>
    <row r="11" spans="1:5" x14ac:dyDescent="0.55000000000000004">
      <c r="A11" t="s">
        <v>213</v>
      </c>
      <c r="B11" t="s">
        <v>58</v>
      </c>
      <c r="C11" t="s">
        <v>227</v>
      </c>
    </row>
    <row r="12" spans="1:5" x14ac:dyDescent="0.55000000000000004">
      <c r="A12" t="s">
        <v>213</v>
      </c>
      <c r="B12" t="s">
        <v>7</v>
      </c>
      <c r="C12" t="s">
        <v>228</v>
      </c>
    </row>
    <row r="13" spans="1:5" x14ac:dyDescent="0.55000000000000004">
      <c r="A13" t="s">
        <v>213</v>
      </c>
      <c r="B13" t="s">
        <v>8</v>
      </c>
      <c r="C13" t="s">
        <v>227</v>
      </c>
    </row>
    <row r="15" spans="1:5" x14ac:dyDescent="0.55000000000000004">
      <c r="A15" t="s">
        <v>25</v>
      </c>
      <c r="B15" t="s">
        <v>9</v>
      </c>
      <c r="C15" t="s">
        <v>10</v>
      </c>
      <c r="D15" t="s">
        <v>11</v>
      </c>
      <c r="E15" t="s">
        <v>12</v>
      </c>
    </row>
    <row r="16" spans="1:5" x14ac:dyDescent="0.55000000000000004">
      <c r="A16" t="s">
        <v>54</v>
      </c>
      <c r="B16">
        <v>1</v>
      </c>
      <c r="C16" t="s">
        <v>63</v>
      </c>
      <c r="D16" t="s">
        <v>64</v>
      </c>
      <c r="E16" t="s">
        <v>0</v>
      </c>
    </row>
    <row r="17" spans="1:5" x14ac:dyDescent="0.55000000000000004">
      <c r="A17" t="s">
        <v>54</v>
      </c>
      <c r="B17">
        <v>2</v>
      </c>
      <c r="C17" t="s">
        <v>65</v>
      </c>
      <c r="D17" t="s">
        <v>64</v>
      </c>
      <c r="E17" t="s">
        <v>66</v>
      </c>
    </row>
    <row r="18" spans="1:5" x14ac:dyDescent="0.55000000000000004">
      <c r="A18" t="s">
        <v>54</v>
      </c>
      <c r="B18">
        <v>3</v>
      </c>
      <c r="C18" t="s">
        <v>67</v>
      </c>
      <c r="D18" t="s">
        <v>64</v>
      </c>
      <c r="E18" t="s">
        <v>11</v>
      </c>
    </row>
    <row r="19" spans="1:5" x14ac:dyDescent="0.55000000000000004">
      <c r="A19" t="s">
        <v>54</v>
      </c>
      <c r="B19">
        <v>4</v>
      </c>
      <c r="C19" t="s">
        <v>13</v>
      </c>
      <c r="D19" t="s">
        <v>64</v>
      </c>
      <c r="E19" t="s">
        <v>13</v>
      </c>
    </row>
    <row r="20" spans="1:5" x14ac:dyDescent="0.55000000000000004">
      <c r="A20" t="s">
        <v>54</v>
      </c>
      <c r="B20">
        <v>5</v>
      </c>
      <c r="C20" t="s">
        <v>68</v>
      </c>
      <c r="D20" t="s">
        <v>69</v>
      </c>
      <c r="E20" t="s">
        <v>70</v>
      </c>
    </row>
    <row r="21" spans="1:5" x14ac:dyDescent="0.55000000000000004">
      <c r="A21" t="s">
        <v>54</v>
      </c>
      <c r="B21">
        <v>6</v>
      </c>
      <c r="C21" t="s">
        <v>71</v>
      </c>
      <c r="D21" t="s">
        <v>69</v>
      </c>
      <c r="E21" s="3">
        <v>46085</v>
      </c>
    </row>
    <row r="22" spans="1:5" x14ac:dyDescent="0.55000000000000004">
      <c r="A22" t="s">
        <v>54</v>
      </c>
      <c r="B22">
        <v>7</v>
      </c>
      <c r="C22" t="s">
        <v>73</v>
      </c>
      <c r="D22" t="s">
        <v>72</v>
      </c>
      <c r="E22" t="s">
        <v>201</v>
      </c>
    </row>
    <row r="23" spans="1:5" x14ac:dyDescent="0.55000000000000004">
      <c r="A23" t="s">
        <v>91</v>
      </c>
      <c r="B23">
        <v>1</v>
      </c>
      <c r="C23" t="s">
        <v>63</v>
      </c>
      <c r="D23" t="s">
        <v>64</v>
      </c>
      <c r="E23" t="s">
        <v>0</v>
      </c>
    </row>
    <row r="24" spans="1:5" x14ac:dyDescent="0.55000000000000004">
      <c r="A24" t="s">
        <v>91</v>
      </c>
      <c r="B24">
        <v>2</v>
      </c>
      <c r="C24" t="s">
        <v>65</v>
      </c>
      <c r="D24" t="s">
        <v>64</v>
      </c>
      <c r="E24" t="s">
        <v>66</v>
      </c>
    </row>
    <row r="25" spans="1:5" x14ac:dyDescent="0.55000000000000004">
      <c r="A25" t="s">
        <v>91</v>
      </c>
      <c r="B25">
        <v>3</v>
      </c>
      <c r="C25" t="s">
        <v>67</v>
      </c>
      <c r="D25" t="s">
        <v>64</v>
      </c>
      <c r="E25" t="s">
        <v>11</v>
      </c>
    </row>
    <row r="26" spans="1:5" x14ac:dyDescent="0.55000000000000004">
      <c r="A26" t="s">
        <v>91</v>
      </c>
      <c r="B26">
        <v>4</v>
      </c>
      <c r="C26" t="s">
        <v>13</v>
      </c>
      <c r="D26" t="s">
        <v>64</v>
      </c>
      <c r="E26" t="s">
        <v>13</v>
      </c>
    </row>
    <row r="27" spans="1:5" x14ac:dyDescent="0.55000000000000004">
      <c r="A27" t="s">
        <v>91</v>
      </c>
      <c r="B27">
        <v>5</v>
      </c>
      <c r="C27" t="s">
        <v>68</v>
      </c>
      <c r="D27" t="s">
        <v>69</v>
      </c>
      <c r="E27" t="s">
        <v>70</v>
      </c>
    </row>
    <row r="28" spans="1:5" x14ac:dyDescent="0.55000000000000004">
      <c r="A28" t="s">
        <v>91</v>
      </c>
      <c r="B28">
        <v>6</v>
      </c>
      <c r="C28" t="s">
        <v>71</v>
      </c>
      <c r="D28" t="s">
        <v>69</v>
      </c>
      <c r="E28" s="3">
        <f ca="1">TODAY()</f>
        <v>46236</v>
      </c>
    </row>
    <row r="29" spans="1:5" x14ac:dyDescent="0.55000000000000004">
      <c r="A29" t="s">
        <v>91</v>
      </c>
      <c r="B29">
        <v>8</v>
      </c>
      <c r="C29" t="s">
        <v>73</v>
      </c>
      <c r="D29" t="s">
        <v>72</v>
      </c>
      <c r="E29" t="str">
        <f ca="1">TEXT(TODAY(),"YYYYMMDD")</f>
        <v>20260802</v>
      </c>
    </row>
    <row r="30" spans="1:5" x14ac:dyDescent="0.55000000000000004">
      <c r="A30" t="s">
        <v>213</v>
      </c>
      <c r="B30">
        <v>1</v>
      </c>
      <c r="C30" t="s">
        <v>6</v>
      </c>
      <c r="D30" t="s">
        <v>64</v>
      </c>
      <c r="E30" t="s">
        <v>6</v>
      </c>
    </row>
    <row r="31" spans="1:5" x14ac:dyDescent="0.55000000000000004">
      <c r="A31" t="s">
        <v>213</v>
      </c>
      <c r="B31">
        <v>2</v>
      </c>
      <c r="C31" t="s">
        <v>5</v>
      </c>
      <c r="D31" t="s">
        <v>64</v>
      </c>
      <c r="E31" t="s">
        <v>5</v>
      </c>
    </row>
    <row r="32" spans="1:5" x14ac:dyDescent="0.55000000000000004">
      <c r="A32" t="s">
        <v>213</v>
      </c>
      <c r="B32">
        <v>3</v>
      </c>
      <c r="C32" t="s">
        <v>217</v>
      </c>
      <c r="D32" t="s">
        <v>64</v>
      </c>
      <c r="E32" t="s">
        <v>217</v>
      </c>
    </row>
    <row r="33" spans="1:5" x14ac:dyDescent="0.55000000000000004">
      <c r="A33" t="s">
        <v>213</v>
      </c>
      <c r="B33">
        <v>4</v>
      </c>
      <c r="C33" t="s">
        <v>3</v>
      </c>
      <c r="D33" t="s">
        <v>64</v>
      </c>
      <c r="E33" t="s">
        <v>3</v>
      </c>
    </row>
    <row r="34" spans="1:5" x14ac:dyDescent="0.55000000000000004">
      <c r="A34" t="s">
        <v>213</v>
      </c>
      <c r="B34">
        <v>5</v>
      </c>
      <c r="C34" t="s">
        <v>4</v>
      </c>
      <c r="D34" t="s">
        <v>64</v>
      </c>
      <c r="E34" t="s">
        <v>4</v>
      </c>
    </row>
    <row r="35" spans="1:5" x14ac:dyDescent="0.55000000000000004">
      <c r="A35" t="s">
        <v>213</v>
      </c>
      <c r="B35">
        <v>6</v>
      </c>
      <c r="C35" t="s">
        <v>229</v>
      </c>
      <c r="D35" t="s">
        <v>64</v>
      </c>
      <c r="E35" t="s">
        <v>229</v>
      </c>
    </row>
    <row r="36" spans="1:5" x14ac:dyDescent="0.55000000000000004">
      <c r="A36" t="s">
        <v>213</v>
      </c>
      <c r="B36">
        <v>7</v>
      </c>
      <c r="C36" t="s">
        <v>230</v>
      </c>
      <c r="D36" t="s">
        <v>64</v>
      </c>
      <c r="E36" t="s">
        <v>230</v>
      </c>
    </row>
  </sheetData>
  <dataConsolidate/>
  <phoneticPr fontId="2" type="noConversion"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ShowReconForm">
                <anchor moveWithCells="1" sizeWithCells="1">
                  <from>
                    <xdr:col>5</xdr:col>
                    <xdr:colOff>628650</xdr:colOff>
                    <xdr:row>0</xdr:row>
                    <xdr:rowOff>26670</xdr:rowOff>
                  </from>
                  <to>
                    <xdr:col>7</xdr:col>
                    <xdr:colOff>502920</xdr:colOff>
                    <xdr:row>0</xdr:row>
                    <xdr:rowOff>163830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DFF5B-9546-48C8-9F41-F4EDF2C67CDB}">
  <sheetPr codeName="Sheet10"/>
  <dimension ref="A1:C33"/>
  <sheetViews>
    <sheetView topLeftCell="A13" workbookViewId="0">
      <selection activeCell="C22" sqref="C22"/>
    </sheetView>
  </sheetViews>
  <sheetFormatPr defaultRowHeight="14.4" x14ac:dyDescent="0.55000000000000004"/>
  <cols>
    <col min="1" max="1" width="22" bestFit="1" customWidth="1"/>
    <col min="2" max="2" width="36.1015625" bestFit="1" customWidth="1"/>
    <col min="3" max="3" width="26.578125" bestFit="1" customWidth="1"/>
  </cols>
  <sheetData>
    <row r="1" spans="1:3" x14ac:dyDescent="0.55000000000000004">
      <c r="A1" t="s">
        <v>35</v>
      </c>
      <c r="B1" t="s">
        <v>2</v>
      </c>
      <c r="C1" t="s">
        <v>1</v>
      </c>
    </row>
    <row r="2" spans="1:3" x14ac:dyDescent="0.55000000000000004">
      <c r="A2" t="s">
        <v>36</v>
      </c>
      <c r="B2" t="s">
        <v>19</v>
      </c>
      <c r="C2" t="s">
        <v>0</v>
      </c>
    </row>
    <row r="3" spans="1:3" x14ac:dyDescent="0.55000000000000004">
      <c r="A3" t="s">
        <v>36</v>
      </c>
      <c r="B3" t="s">
        <v>20</v>
      </c>
      <c r="C3" t="s">
        <v>0</v>
      </c>
    </row>
    <row r="4" spans="1:3" x14ac:dyDescent="0.55000000000000004">
      <c r="A4" t="s">
        <v>36</v>
      </c>
      <c r="B4" t="s">
        <v>21</v>
      </c>
      <c r="C4" t="s">
        <v>13</v>
      </c>
    </row>
    <row r="5" spans="1:3" x14ac:dyDescent="0.55000000000000004">
      <c r="A5" t="s">
        <v>36</v>
      </c>
      <c r="B5" t="s">
        <v>22</v>
      </c>
      <c r="C5" t="s">
        <v>13</v>
      </c>
    </row>
    <row r="6" spans="1:3" x14ac:dyDescent="0.55000000000000004">
      <c r="A6" t="s">
        <v>36</v>
      </c>
      <c r="B6" t="s">
        <v>40</v>
      </c>
    </row>
    <row r="7" spans="1:3" x14ac:dyDescent="0.55000000000000004">
      <c r="A7" t="s">
        <v>36</v>
      </c>
      <c r="B7" t="s">
        <v>41</v>
      </c>
    </row>
    <row r="8" spans="1:3" x14ac:dyDescent="0.55000000000000004">
      <c r="A8" t="s">
        <v>36</v>
      </c>
      <c r="B8" t="s">
        <v>15</v>
      </c>
      <c r="C8">
        <v>0.03</v>
      </c>
    </row>
    <row r="9" spans="1:3" x14ac:dyDescent="0.55000000000000004">
      <c r="A9" t="s">
        <v>36</v>
      </c>
      <c r="B9" t="s">
        <v>16</v>
      </c>
      <c r="C9" t="s">
        <v>17</v>
      </c>
    </row>
    <row r="10" spans="1:3" x14ac:dyDescent="0.55000000000000004">
      <c r="A10" t="s">
        <v>37</v>
      </c>
      <c r="B10" t="s">
        <v>19</v>
      </c>
      <c r="C10" t="s">
        <v>0</v>
      </c>
    </row>
    <row r="11" spans="1:3" x14ac:dyDescent="0.55000000000000004">
      <c r="A11" t="s">
        <v>37</v>
      </c>
      <c r="B11" t="s">
        <v>20</v>
      </c>
      <c r="C11" t="s">
        <v>0</v>
      </c>
    </row>
    <row r="12" spans="1:3" x14ac:dyDescent="0.55000000000000004">
      <c r="A12" t="s">
        <v>37</v>
      </c>
      <c r="B12" t="s">
        <v>21</v>
      </c>
      <c r="C12" t="s">
        <v>13</v>
      </c>
    </row>
    <row r="13" spans="1:3" x14ac:dyDescent="0.55000000000000004">
      <c r="A13" t="s">
        <v>37</v>
      </c>
      <c r="B13" t="s">
        <v>22</v>
      </c>
      <c r="C13" t="s">
        <v>13</v>
      </c>
    </row>
    <row r="14" spans="1:3" x14ac:dyDescent="0.55000000000000004">
      <c r="A14" t="s">
        <v>37</v>
      </c>
      <c r="B14" t="s">
        <v>40</v>
      </c>
      <c r="C14" t="s">
        <v>43</v>
      </c>
    </row>
    <row r="15" spans="1:3" x14ac:dyDescent="0.55000000000000004">
      <c r="A15" t="s">
        <v>37</v>
      </c>
      <c r="B15" t="s">
        <v>41</v>
      </c>
      <c r="C15" t="s">
        <v>43</v>
      </c>
    </row>
    <row r="16" spans="1:3" x14ac:dyDescent="0.55000000000000004">
      <c r="A16" t="s">
        <v>37</v>
      </c>
      <c r="B16" t="s">
        <v>15</v>
      </c>
      <c r="C16">
        <v>0.03</v>
      </c>
    </row>
    <row r="17" spans="1:3" x14ac:dyDescent="0.55000000000000004">
      <c r="A17" t="s">
        <v>37</v>
      </c>
      <c r="B17" t="s">
        <v>16</v>
      </c>
      <c r="C17" t="s">
        <v>17</v>
      </c>
    </row>
    <row r="18" spans="1:3" x14ac:dyDescent="0.55000000000000004">
      <c r="A18" t="s">
        <v>38</v>
      </c>
      <c r="B18" t="s">
        <v>19</v>
      </c>
      <c r="C18" t="s">
        <v>0</v>
      </c>
    </row>
    <row r="19" spans="1:3" x14ac:dyDescent="0.55000000000000004">
      <c r="A19" t="s">
        <v>38</v>
      </c>
      <c r="B19" t="s">
        <v>20</v>
      </c>
      <c r="C19" t="s">
        <v>0</v>
      </c>
    </row>
    <row r="20" spans="1:3" x14ac:dyDescent="0.55000000000000004">
      <c r="A20" t="s">
        <v>38</v>
      </c>
      <c r="B20" t="s">
        <v>21</v>
      </c>
      <c r="C20" t="s">
        <v>13</v>
      </c>
    </row>
    <row r="21" spans="1:3" x14ac:dyDescent="0.55000000000000004">
      <c r="A21" t="s">
        <v>38</v>
      </c>
      <c r="B21" t="s">
        <v>22</v>
      </c>
      <c r="C21" t="s">
        <v>13</v>
      </c>
    </row>
    <row r="22" spans="1:3" x14ac:dyDescent="0.55000000000000004">
      <c r="A22" t="s">
        <v>38</v>
      </c>
      <c r="B22" t="s">
        <v>40</v>
      </c>
      <c r="C22" t="s">
        <v>51</v>
      </c>
    </row>
    <row r="23" spans="1:3" x14ac:dyDescent="0.55000000000000004">
      <c r="A23" t="s">
        <v>38</v>
      </c>
      <c r="B23" t="s">
        <v>41</v>
      </c>
      <c r="C23" t="s">
        <v>42</v>
      </c>
    </row>
    <row r="24" spans="1:3" x14ac:dyDescent="0.55000000000000004">
      <c r="A24" t="s">
        <v>38</v>
      </c>
      <c r="B24" t="s">
        <v>15</v>
      </c>
      <c r="C24">
        <v>0.03</v>
      </c>
    </row>
    <row r="25" spans="1:3" x14ac:dyDescent="0.55000000000000004">
      <c r="A25" t="s">
        <v>38</v>
      </c>
      <c r="B25" t="s">
        <v>16</v>
      </c>
      <c r="C25" t="s">
        <v>17</v>
      </c>
    </row>
    <row r="26" spans="1:3" x14ac:dyDescent="0.55000000000000004">
      <c r="A26" t="s">
        <v>39</v>
      </c>
      <c r="B26" t="s">
        <v>19</v>
      </c>
      <c r="C26" t="s">
        <v>0</v>
      </c>
    </row>
    <row r="27" spans="1:3" x14ac:dyDescent="0.55000000000000004">
      <c r="A27" t="s">
        <v>39</v>
      </c>
      <c r="B27" t="s">
        <v>20</v>
      </c>
      <c r="C27" t="s">
        <v>0</v>
      </c>
    </row>
    <row r="28" spans="1:3" x14ac:dyDescent="0.55000000000000004">
      <c r="A28" t="s">
        <v>39</v>
      </c>
      <c r="B28" t="s">
        <v>21</v>
      </c>
      <c r="C28" t="s">
        <v>13</v>
      </c>
    </row>
    <row r="29" spans="1:3" x14ac:dyDescent="0.55000000000000004">
      <c r="A29" t="s">
        <v>39</v>
      </c>
      <c r="B29" t="s">
        <v>22</v>
      </c>
      <c r="C29" t="s">
        <v>13</v>
      </c>
    </row>
    <row r="30" spans="1:3" x14ac:dyDescent="0.55000000000000004">
      <c r="A30" t="s">
        <v>39</v>
      </c>
      <c r="B30" t="s">
        <v>40</v>
      </c>
      <c r="C30" t="s">
        <v>43</v>
      </c>
    </row>
    <row r="31" spans="1:3" x14ac:dyDescent="0.55000000000000004">
      <c r="A31" t="s">
        <v>39</v>
      </c>
      <c r="B31" t="s">
        <v>41</v>
      </c>
      <c r="C31" t="s">
        <v>42</v>
      </c>
    </row>
    <row r="32" spans="1:3" x14ac:dyDescent="0.55000000000000004">
      <c r="A32" t="s">
        <v>39</v>
      </c>
      <c r="B32" t="s">
        <v>15</v>
      </c>
      <c r="C32">
        <v>0.03</v>
      </c>
    </row>
    <row r="33" spans="1:3" x14ac:dyDescent="0.55000000000000004">
      <c r="A33" t="s">
        <v>39</v>
      </c>
      <c r="B33" t="s">
        <v>16</v>
      </c>
      <c r="C33" t="s">
        <v>17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ReconForm">
                <anchor moveWithCells="1" sizeWithCells="1">
                  <from>
                    <xdr:col>4</xdr:col>
                    <xdr:colOff>228600</xdr:colOff>
                    <xdr:row>0</xdr:row>
                    <xdr:rowOff>118110</xdr:rowOff>
                  </from>
                  <to>
                    <xdr:col>6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B8C87-E09E-4650-80AF-C354B026E8A7}">
  <sheetPr codeName="Sheet3"/>
  <dimension ref="A1:C9"/>
  <sheetViews>
    <sheetView workbookViewId="0">
      <selection activeCell="F15" sqref="F15"/>
    </sheetView>
  </sheetViews>
  <sheetFormatPr defaultRowHeight="14.4" x14ac:dyDescent="0.55000000000000004"/>
  <cols>
    <col min="1" max="1" width="8.89453125" bestFit="1" customWidth="1"/>
    <col min="2" max="2" width="16.3125" bestFit="1" customWidth="1"/>
    <col min="3" max="3" width="6.62890625" bestFit="1" customWidth="1"/>
    <col min="4" max="4" width="6.83984375" bestFit="1" customWidth="1"/>
    <col min="5" max="5" width="5.62890625" bestFit="1" customWidth="1"/>
  </cols>
  <sheetData>
    <row r="1" spans="1:3" x14ac:dyDescent="0.55000000000000004">
      <c r="A1" t="s">
        <v>217</v>
      </c>
      <c r="B1" t="s">
        <v>219</v>
      </c>
      <c r="C1" t="s">
        <v>180</v>
      </c>
    </row>
    <row r="2" spans="1:3" x14ac:dyDescent="0.55000000000000004">
      <c r="A2" t="s">
        <v>231</v>
      </c>
      <c r="B2">
        <v>99500</v>
      </c>
      <c r="C2" t="s">
        <v>241</v>
      </c>
    </row>
    <row r="3" spans="1:3" x14ac:dyDescent="0.55000000000000004">
      <c r="A3" t="s">
        <v>232</v>
      </c>
      <c r="B3">
        <v>49750</v>
      </c>
      <c r="C3" t="s">
        <v>241</v>
      </c>
    </row>
    <row r="4" spans="1:3" x14ac:dyDescent="0.55000000000000004">
      <c r="A4" t="s">
        <v>233</v>
      </c>
      <c r="B4">
        <v>195000</v>
      </c>
      <c r="C4" t="s">
        <v>242</v>
      </c>
    </row>
    <row r="5" spans="1:3" x14ac:dyDescent="0.55000000000000004">
      <c r="A5" t="s">
        <v>234</v>
      </c>
      <c r="B5">
        <v>75000</v>
      </c>
      <c r="C5" t="s">
        <v>241</v>
      </c>
    </row>
    <row r="6" spans="1:3" x14ac:dyDescent="0.55000000000000004">
      <c r="A6" t="s">
        <v>235</v>
      </c>
      <c r="B6">
        <v>125500</v>
      </c>
      <c r="C6" t="s">
        <v>241</v>
      </c>
    </row>
    <row r="7" spans="1:3" x14ac:dyDescent="0.55000000000000004">
      <c r="A7" t="s">
        <v>236</v>
      </c>
      <c r="B7">
        <v>200000</v>
      </c>
      <c r="C7" t="s">
        <v>241</v>
      </c>
    </row>
    <row r="8" spans="1:3" x14ac:dyDescent="0.55000000000000004">
      <c r="A8" t="s">
        <v>237</v>
      </c>
      <c r="B8">
        <v>55000</v>
      </c>
      <c r="C8" t="s">
        <v>241</v>
      </c>
    </row>
    <row r="9" spans="1:3" x14ac:dyDescent="0.55000000000000004">
      <c r="A9" t="s">
        <v>238</v>
      </c>
      <c r="B9">
        <v>90000</v>
      </c>
      <c r="C9" t="s">
        <v>243</v>
      </c>
    </row>
  </sheetData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11663-74C5-46D8-9DD1-AF441D892DD7}">
  <sheetPr codeName="Sheet2"/>
  <dimension ref="A1:F9"/>
  <sheetViews>
    <sheetView tabSelected="1" workbookViewId="0"/>
  </sheetViews>
  <sheetFormatPr defaultRowHeight="14.4" x14ac:dyDescent="0.55000000000000004"/>
  <cols>
    <col min="1" max="1" width="8.89453125" bestFit="1" customWidth="1"/>
    <col min="2" max="2" width="16.3125" bestFit="1" customWidth="1"/>
    <col min="3" max="3" width="6.62890625" bestFit="1" customWidth="1"/>
    <col min="4" max="4" width="6.83984375" bestFit="1" customWidth="1"/>
    <col min="5" max="5" width="15.68359375" bestFit="1" customWidth="1"/>
    <col min="6" max="6" width="9.62890625" bestFit="1" customWidth="1"/>
  </cols>
  <sheetData>
    <row r="1" spans="1:6" x14ac:dyDescent="0.55000000000000004">
      <c r="A1" t="s">
        <v>217</v>
      </c>
      <c r="B1" t="s">
        <v>229</v>
      </c>
      <c r="C1" t="s">
        <v>230</v>
      </c>
      <c r="D1" t="s">
        <v>248</v>
      </c>
      <c r="E1" t="s">
        <v>49</v>
      </c>
      <c r="F1" t="s">
        <v>218</v>
      </c>
    </row>
    <row r="2" spans="1:6" x14ac:dyDescent="0.55000000000000004">
      <c r="A2" t="s">
        <v>234</v>
      </c>
      <c r="B2" s="3">
        <v>46056</v>
      </c>
      <c r="C2" t="s">
        <v>249</v>
      </c>
      <c r="D2">
        <v>75500</v>
      </c>
      <c r="E2">
        <v>500</v>
      </c>
      <c r="F2">
        <v>75000</v>
      </c>
    </row>
    <row r="3" spans="1:6" x14ac:dyDescent="0.55000000000000004">
      <c r="A3" t="s">
        <v>235</v>
      </c>
      <c r="B3" s="3">
        <v>46067</v>
      </c>
      <c r="C3" t="s">
        <v>250</v>
      </c>
      <c r="D3">
        <v>126000</v>
      </c>
      <c r="E3">
        <v>500</v>
      </c>
      <c r="F3">
        <v>125500</v>
      </c>
    </row>
    <row r="4" spans="1:6" x14ac:dyDescent="0.55000000000000004">
      <c r="A4" t="s">
        <v>231</v>
      </c>
      <c r="B4" s="3">
        <v>46027</v>
      </c>
      <c r="C4" t="s">
        <v>251</v>
      </c>
      <c r="D4">
        <v>100000</v>
      </c>
      <c r="E4">
        <v>500</v>
      </c>
      <c r="F4">
        <v>99500</v>
      </c>
    </row>
    <row r="5" spans="1:6" x14ac:dyDescent="0.55000000000000004">
      <c r="A5" t="s">
        <v>232</v>
      </c>
      <c r="B5" s="3">
        <v>46034</v>
      </c>
      <c r="C5" t="s">
        <v>250</v>
      </c>
      <c r="D5">
        <v>50000</v>
      </c>
      <c r="E5">
        <v>250</v>
      </c>
      <c r="F5">
        <v>49750</v>
      </c>
    </row>
    <row r="6" spans="1:6" x14ac:dyDescent="0.55000000000000004">
      <c r="A6" t="s">
        <v>233</v>
      </c>
      <c r="B6" s="3">
        <v>46042</v>
      </c>
      <c r="C6" t="s">
        <v>251</v>
      </c>
      <c r="D6">
        <v>200000</v>
      </c>
      <c r="E6">
        <v>2000</v>
      </c>
      <c r="F6">
        <v>198000</v>
      </c>
    </row>
    <row r="7" spans="1:6" x14ac:dyDescent="0.55000000000000004">
      <c r="A7" t="s">
        <v>236</v>
      </c>
      <c r="B7" s="3">
        <v>46088</v>
      </c>
      <c r="C7" t="s">
        <v>251</v>
      </c>
      <c r="D7">
        <v>201000</v>
      </c>
      <c r="E7">
        <v>1000</v>
      </c>
      <c r="F7">
        <v>200000</v>
      </c>
    </row>
    <row r="8" spans="1:6" x14ac:dyDescent="0.55000000000000004">
      <c r="A8" t="s">
        <v>237</v>
      </c>
      <c r="B8" s="3">
        <v>46096</v>
      </c>
      <c r="C8" t="s">
        <v>249</v>
      </c>
      <c r="D8">
        <v>55500</v>
      </c>
      <c r="E8">
        <v>500</v>
      </c>
      <c r="F8">
        <v>55000</v>
      </c>
    </row>
    <row r="9" spans="1:6" x14ac:dyDescent="0.55000000000000004">
      <c r="A9" t="s">
        <v>238</v>
      </c>
      <c r="B9" s="3">
        <v>46109</v>
      </c>
      <c r="C9" t="s">
        <v>250</v>
      </c>
      <c r="D9">
        <v>89000</v>
      </c>
      <c r="E9">
        <v>500</v>
      </c>
      <c r="F9">
        <v>88500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69DA1-34A6-4FFA-AFAB-E1BC8E677200}">
  <sheetPr codeName="Sheet13"/>
  <dimension ref="A1:G88"/>
  <sheetViews>
    <sheetView topLeftCell="A43" workbookViewId="0">
      <selection activeCell="D60" sqref="D60"/>
    </sheetView>
  </sheetViews>
  <sheetFormatPr defaultRowHeight="14.4" x14ac:dyDescent="0.55000000000000004"/>
  <cols>
    <col min="1" max="1" width="17.3671875" bestFit="1" customWidth="1"/>
    <col min="2" max="2" width="12.47265625" bestFit="1" customWidth="1"/>
    <col min="3" max="3" width="10.5234375" bestFit="1" customWidth="1"/>
    <col min="4" max="4" width="255.578125" bestFit="1" customWidth="1"/>
    <col min="5" max="5" width="8.05078125" bestFit="1" customWidth="1"/>
    <col min="6" max="6" width="9.5234375" bestFit="1" customWidth="1"/>
    <col min="7" max="7" width="6.62890625" bestFit="1" customWidth="1"/>
  </cols>
  <sheetData>
    <row r="1" spans="1:7" x14ac:dyDescent="0.55000000000000004">
      <c r="A1" s="8" t="s">
        <v>24</v>
      </c>
      <c r="B1" s="8" t="s">
        <v>28</v>
      </c>
      <c r="C1" s="8" t="s">
        <v>25</v>
      </c>
      <c r="D1" s="8" t="s">
        <v>29</v>
      </c>
      <c r="E1" s="8" t="s">
        <v>23</v>
      </c>
      <c r="F1" s="8" t="s">
        <v>30</v>
      </c>
      <c r="G1" s="8" t="s">
        <v>26</v>
      </c>
    </row>
    <row r="2" spans="1:7" x14ac:dyDescent="0.55000000000000004">
      <c r="A2" s="7">
        <v>46085.643148148149</v>
      </c>
      <c r="B2" s="8" t="s">
        <v>33</v>
      </c>
      <c r="C2" s="8" t="s">
        <v>91</v>
      </c>
      <c r="D2" s="8" t="s">
        <v>90</v>
      </c>
      <c r="E2" s="8" t="s">
        <v>32</v>
      </c>
      <c r="F2" s="8">
        <v>12</v>
      </c>
      <c r="G2" s="8" t="s">
        <v>27</v>
      </c>
    </row>
    <row r="3" spans="1:7" x14ac:dyDescent="0.55000000000000004">
      <c r="A3" s="7">
        <v>46085.643206018518</v>
      </c>
      <c r="B3" s="8" t="s">
        <v>34</v>
      </c>
      <c r="C3" s="8" t="s">
        <v>91</v>
      </c>
      <c r="D3" s="8" t="s">
        <v>93</v>
      </c>
      <c r="E3" s="8" t="s">
        <v>32</v>
      </c>
      <c r="F3" s="8">
        <v>8</v>
      </c>
      <c r="G3" s="8" t="s">
        <v>27</v>
      </c>
    </row>
    <row r="4" spans="1:7" x14ac:dyDescent="0.55000000000000004">
      <c r="A4" s="7">
        <v>46085.643449074072</v>
      </c>
      <c r="B4" s="8" t="s">
        <v>33</v>
      </c>
      <c r="C4" s="8" t="s">
        <v>91</v>
      </c>
      <c r="D4" s="8" t="s">
        <v>90</v>
      </c>
      <c r="E4" s="8" t="s">
        <v>32</v>
      </c>
      <c r="F4" s="8">
        <v>12</v>
      </c>
      <c r="G4" s="8" t="s">
        <v>27</v>
      </c>
    </row>
    <row r="5" spans="1:7" x14ac:dyDescent="0.55000000000000004">
      <c r="A5" s="7">
        <v>46085.643472222226</v>
      </c>
      <c r="B5" s="8" t="s">
        <v>34</v>
      </c>
      <c r="C5" s="8" t="s">
        <v>91</v>
      </c>
      <c r="D5" s="8" t="s">
        <v>94</v>
      </c>
      <c r="E5" s="8" t="s">
        <v>32</v>
      </c>
      <c r="F5" s="8">
        <v>8</v>
      </c>
      <c r="G5" s="8" t="s">
        <v>27</v>
      </c>
    </row>
    <row r="6" spans="1:7" x14ac:dyDescent="0.55000000000000004">
      <c r="A6" s="7">
        <v>46085.643518518518</v>
      </c>
      <c r="B6" s="8" t="s">
        <v>33</v>
      </c>
      <c r="C6" s="8" t="s">
        <v>54</v>
      </c>
      <c r="D6" s="8" t="s">
        <v>202</v>
      </c>
      <c r="E6" s="8" t="s">
        <v>32</v>
      </c>
      <c r="F6" s="8">
        <v>16</v>
      </c>
      <c r="G6" s="8" t="s">
        <v>27</v>
      </c>
    </row>
    <row r="7" spans="1:7" x14ac:dyDescent="0.55000000000000004">
      <c r="A7" s="7">
        <v>46085.643541666665</v>
      </c>
      <c r="B7" s="8" t="s">
        <v>34</v>
      </c>
      <c r="C7" s="8" t="s">
        <v>54</v>
      </c>
      <c r="D7" s="8" t="s">
        <v>85</v>
      </c>
      <c r="E7" s="8" t="s">
        <v>32</v>
      </c>
      <c r="F7" s="8">
        <v>24</v>
      </c>
      <c r="G7" s="8" t="s">
        <v>27</v>
      </c>
    </row>
    <row r="8" spans="1:7" x14ac:dyDescent="0.55000000000000004">
      <c r="A8" s="7">
        <v>46085.644016203703</v>
      </c>
      <c r="B8" s="8" t="s">
        <v>33</v>
      </c>
      <c r="C8" s="8" t="s">
        <v>91</v>
      </c>
      <c r="D8" s="8" t="s">
        <v>90</v>
      </c>
      <c r="E8" s="8" t="s">
        <v>32</v>
      </c>
      <c r="F8" s="8">
        <v>12</v>
      </c>
      <c r="G8" s="8" t="s">
        <v>27</v>
      </c>
    </row>
    <row r="9" spans="1:7" x14ac:dyDescent="0.55000000000000004">
      <c r="A9" s="7">
        <v>46085.64402777778</v>
      </c>
      <c r="B9" s="8" t="s">
        <v>34</v>
      </c>
      <c r="C9" s="8" t="s">
        <v>91</v>
      </c>
      <c r="D9" s="8" t="s">
        <v>94</v>
      </c>
      <c r="E9" s="8" t="s">
        <v>32</v>
      </c>
      <c r="F9" s="8">
        <v>8</v>
      </c>
      <c r="G9" s="8" t="s">
        <v>27</v>
      </c>
    </row>
    <row r="10" spans="1:7" x14ac:dyDescent="0.55000000000000004">
      <c r="A10" s="7">
        <v>46085.644074074073</v>
      </c>
      <c r="B10" s="8" t="s">
        <v>33</v>
      </c>
      <c r="C10" s="8" t="s">
        <v>54</v>
      </c>
      <c r="D10" s="8" t="s">
        <v>202</v>
      </c>
      <c r="E10" s="8" t="s">
        <v>32</v>
      </c>
      <c r="F10" s="8">
        <v>16</v>
      </c>
      <c r="G10" s="8" t="s">
        <v>27</v>
      </c>
    </row>
    <row r="11" spans="1:7" x14ac:dyDescent="0.55000000000000004">
      <c r="A11" s="7">
        <v>46085.644097222219</v>
      </c>
      <c r="B11" s="8" t="s">
        <v>34</v>
      </c>
      <c r="C11" s="8" t="s">
        <v>54</v>
      </c>
      <c r="D11" s="8" t="s">
        <v>85</v>
      </c>
      <c r="E11" s="8" t="s">
        <v>32</v>
      </c>
      <c r="F11" s="8">
        <v>24</v>
      </c>
      <c r="G11" s="8" t="s">
        <v>27</v>
      </c>
    </row>
    <row r="12" spans="1:7" x14ac:dyDescent="0.55000000000000004">
      <c r="A12" s="7">
        <v>46085.689131944448</v>
      </c>
      <c r="B12" s="8" t="s">
        <v>33</v>
      </c>
      <c r="C12" s="8" t="s">
        <v>54</v>
      </c>
      <c r="D12" s="8" t="s">
        <v>202</v>
      </c>
      <c r="E12" s="8" t="s">
        <v>32</v>
      </c>
      <c r="F12" s="8">
        <v>16</v>
      </c>
      <c r="G12" s="8" t="s">
        <v>27</v>
      </c>
    </row>
    <row r="13" spans="1:7" x14ac:dyDescent="0.55000000000000004">
      <c r="A13" s="7">
        <v>46085.689965277779</v>
      </c>
      <c r="B13" s="8" t="s">
        <v>34</v>
      </c>
      <c r="C13" s="8" t="s">
        <v>91</v>
      </c>
      <c r="D13" s="8" t="s">
        <v>93</v>
      </c>
      <c r="E13" s="8" t="s">
        <v>32</v>
      </c>
      <c r="F13" s="8">
        <v>8</v>
      </c>
      <c r="G13" s="8" t="s">
        <v>27</v>
      </c>
    </row>
    <row r="14" spans="1:7" x14ac:dyDescent="0.55000000000000004">
      <c r="A14" s="7">
        <v>46085.693784722222</v>
      </c>
      <c r="B14" s="8" t="s">
        <v>34</v>
      </c>
      <c r="C14" s="8" t="s">
        <v>91</v>
      </c>
      <c r="D14" s="8" t="s">
        <v>93</v>
      </c>
      <c r="E14" s="8" t="s">
        <v>32</v>
      </c>
      <c r="F14" s="8">
        <v>8</v>
      </c>
      <c r="G14" s="8" t="s">
        <v>27</v>
      </c>
    </row>
    <row r="15" spans="1:7" x14ac:dyDescent="0.55000000000000004">
      <c r="A15" s="7">
        <v>46085.693888888891</v>
      </c>
      <c r="B15" s="8" t="s">
        <v>34</v>
      </c>
      <c r="C15" s="8" t="s">
        <v>54</v>
      </c>
      <c r="D15" s="8" t="s">
        <v>85</v>
      </c>
      <c r="E15" s="8" t="s">
        <v>32</v>
      </c>
      <c r="F15" s="8">
        <v>24</v>
      </c>
      <c r="G15" s="8" t="s">
        <v>27</v>
      </c>
    </row>
    <row r="16" spans="1:7" x14ac:dyDescent="0.55000000000000004">
      <c r="A16" s="7">
        <v>46085.693981481483</v>
      </c>
      <c r="B16" s="8" t="s">
        <v>34</v>
      </c>
      <c r="C16" s="8" t="s">
        <v>91</v>
      </c>
      <c r="D16" s="8" t="s">
        <v>94</v>
      </c>
      <c r="E16" s="8" t="s">
        <v>32</v>
      </c>
      <c r="F16" s="8">
        <v>8</v>
      </c>
      <c r="G16" s="8" t="s">
        <v>27</v>
      </c>
    </row>
    <row r="17" spans="1:7" x14ac:dyDescent="0.55000000000000004">
      <c r="A17" s="7">
        <v>46085.694872685184</v>
      </c>
      <c r="B17" s="8" t="s">
        <v>34</v>
      </c>
      <c r="C17" s="8" t="s">
        <v>91</v>
      </c>
      <c r="D17" s="8" t="s">
        <v>93</v>
      </c>
      <c r="E17" s="8" t="s">
        <v>32</v>
      </c>
      <c r="F17" s="8">
        <v>8</v>
      </c>
      <c r="G17" s="8" t="s">
        <v>27</v>
      </c>
    </row>
    <row r="18" spans="1:7" x14ac:dyDescent="0.55000000000000004">
      <c r="A18" s="7">
        <v>46085.694976851853</v>
      </c>
      <c r="B18" s="8" t="s">
        <v>34</v>
      </c>
      <c r="C18" s="8" t="s">
        <v>54</v>
      </c>
      <c r="D18" s="8" t="s">
        <v>85</v>
      </c>
      <c r="E18" s="8" t="s">
        <v>32</v>
      </c>
      <c r="F18" s="8">
        <v>24</v>
      </c>
      <c r="G18" s="8" t="s">
        <v>27</v>
      </c>
    </row>
    <row r="19" spans="1:7" x14ac:dyDescent="0.55000000000000004">
      <c r="A19" s="7">
        <v>46085.696817129632</v>
      </c>
      <c r="B19" s="8" t="s">
        <v>34</v>
      </c>
      <c r="C19" s="8" t="s">
        <v>91</v>
      </c>
      <c r="D19" s="8" t="s">
        <v>94</v>
      </c>
      <c r="E19" s="8" t="s">
        <v>32</v>
      </c>
      <c r="F19" s="8">
        <v>8</v>
      </c>
      <c r="G19" s="8" t="s">
        <v>27</v>
      </c>
    </row>
    <row r="20" spans="1:7" x14ac:dyDescent="0.55000000000000004">
      <c r="A20" s="7">
        <v>46085.696921296294</v>
      </c>
      <c r="B20" s="8" t="s">
        <v>34</v>
      </c>
      <c r="C20" s="8" t="s">
        <v>54</v>
      </c>
      <c r="D20" s="8" t="s">
        <v>85</v>
      </c>
      <c r="E20" s="8" t="s">
        <v>32</v>
      </c>
      <c r="F20" s="8">
        <v>24</v>
      </c>
      <c r="G20" s="8" t="s">
        <v>27</v>
      </c>
    </row>
    <row r="21" spans="1:7" x14ac:dyDescent="0.55000000000000004">
      <c r="A21" s="7">
        <v>46085.699525462966</v>
      </c>
      <c r="B21" s="8" t="s">
        <v>33</v>
      </c>
      <c r="C21" s="8" t="s">
        <v>91</v>
      </c>
      <c r="D21" s="8" t="s">
        <v>90</v>
      </c>
      <c r="E21" s="8" t="s">
        <v>32</v>
      </c>
      <c r="F21" s="8">
        <v>12</v>
      </c>
      <c r="G21" s="8" t="s">
        <v>27</v>
      </c>
    </row>
    <row r="22" spans="1:7" x14ac:dyDescent="0.55000000000000004">
      <c r="A22" s="7">
        <v>46085.699560185189</v>
      </c>
      <c r="B22" s="8" t="s">
        <v>34</v>
      </c>
      <c r="C22" s="8" t="s">
        <v>91</v>
      </c>
      <c r="D22" s="8" t="s">
        <v>94</v>
      </c>
      <c r="E22" s="8" t="s">
        <v>32</v>
      </c>
      <c r="F22" s="8">
        <v>8</v>
      </c>
      <c r="G22" s="8" t="s">
        <v>27</v>
      </c>
    </row>
    <row r="23" spans="1:7" x14ac:dyDescent="0.55000000000000004">
      <c r="A23" s="7">
        <v>46085.699618055558</v>
      </c>
      <c r="B23" s="8" t="s">
        <v>33</v>
      </c>
      <c r="C23" s="8" t="s">
        <v>54</v>
      </c>
      <c r="D23" s="8" t="s">
        <v>202</v>
      </c>
      <c r="E23" s="8" t="s">
        <v>32</v>
      </c>
      <c r="F23" s="8">
        <v>16</v>
      </c>
      <c r="G23" s="8" t="s">
        <v>27</v>
      </c>
    </row>
    <row r="24" spans="1:7" x14ac:dyDescent="0.55000000000000004">
      <c r="A24" s="7">
        <v>46085.699641203704</v>
      </c>
      <c r="B24" s="8" t="s">
        <v>34</v>
      </c>
      <c r="C24" s="8" t="s">
        <v>54</v>
      </c>
      <c r="D24" s="8" t="s">
        <v>85</v>
      </c>
      <c r="E24" s="8" t="s">
        <v>32</v>
      </c>
      <c r="F24" s="8">
        <v>24</v>
      </c>
      <c r="G24" s="8" t="s">
        <v>27</v>
      </c>
    </row>
    <row r="25" spans="1:7" x14ac:dyDescent="0.55000000000000004">
      <c r="A25" s="7">
        <v>46085.702581018515</v>
      </c>
      <c r="B25" s="8" t="s">
        <v>33</v>
      </c>
      <c r="C25" s="8" t="s">
        <v>91</v>
      </c>
      <c r="D25" s="8" t="s">
        <v>90</v>
      </c>
      <c r="E25" s="8" t="s">
        <v>32</v>
      </c>
      <c r="F25" s="8">
        <v>12</v>
      </c>
      <c r="G25" s="8" t="s">
        <v>27</v>
      </c>
    </row>
    <row r="26" spans="1:7" x14ac:dyDescent="0.55000000000000004">
      <c r="A26" s="7">
        <v>46085.702604166669</v>
      </c>
      <c r="B26" s="8" t="s">
        <v>34</v>
      </c>
      <c r="C26" s="8" t="s">
        <v>91</v>
      </c>
      <c r="D26" s="8" t="s">
        <v>94</v>
      </c>
      <c r="E26" s="8" t="s">
        <v>32</v>
      </c>
      <c r="F26" s="8">
        <v>8</v>
      </c>
      <c r="G26" s="8" t="s">
        <v>27</v>
      </c>
    </row>
    <row r="27" spans="1:7" x14ac:dyDescent="0.55000000000000004">
      <c r="A27" s="7">
        <v>46085.702685185184</v>
      </c>
      <c r="B27" s="8" t="s">
        <v>33</v>
      </c>
      <c r="C27" s="8" t="s">
        <v>54</v>
      </c>
      <c r="D27" s="8" t="s">
        <v>202</v>
      </c>
      <c r="E27" s="8" t="s">
        <v>32</v>
      </c>
      <c r="F27" s="8">
        <v>16</v>
      </c>
      <c r="G27" s="8" t="s">
        <v>27</v>
      </c>
    </row>
    <row r="28" spans="1:7" x14ac:dyDescent="0.55000000000000004">
      <c r="A28" s="7">
        <v>46085.702743055554</v>
      </c>
      <c r="B28" s="8" t="s">
        <v>34</v>
      </c>
      <c r="C28" s="8" t="s">
        <v>54</v>
      </c>
      <c r="D28" s="8" t="s">
        <v>85</v>
      </c>
      <c r="E28" s="8" t="s">
        <v>32</v>
      </c>
      <c r="F28" s="8">
        <v>24</v>
      </c>
      <c r="G28" s="8" t="s">
        <v>27</v>
      </c>
    </row>
    <row r="29" spans="1:7" x14ac:dyDescent="0.55000000000000004">
      <c r="A29" s="7">
        <v>46085.704247685186</v>
      </c>
      <c r="B29" s="8" t="s">
        <v>33</v>
      </c>
      <c r="C29" s="8" t="s">
        <v>91</v>
      </c>
      <c r="D29" s="8" t="s">
        <v>90</v>
      </c>
      <c r="E29" s="8" t="s">
        <v>32</v>
      </c>
      <c r="F29" s="8">
        <v>12</v>
      </c>
      <c r="G29" s="8" t="s">
        <v>27</v>
      </c>
    </row>
    <row r="30" spans="1:7" x14ac:dyDescent="0.55000000000000004">
      <c r="A30" s="7">
        <v>46085.704270833332</v>
      </c>
      <c r="B30" s="8" t="s">
        <v>34</v>
      </c>
      <c r="C30" s="8" t="s">
        <v>91</v>
      </c>
      <c r="D30" s="8" t="s">
        <v>93</v>
      </c>
      <c r="E30" s="8" t="s">
        <v>32</v>
      </c>
      <c r="F30" s="8">
        <v>8</v>
      </c>
      <c r="G30" s="8" t="s">
        <v>27</v>
      </c>
    </row>
    <row r="31" spans="1:7" x14ac:dyDescent="0.55000000000000004">
      <c r="A31" s="7">
        <v>46085.704317129632</v>
      </c>
      <c r="B31" s="8" t="s">
        <v>33</v>
      </c>
      <c r="C31" s="8" t="s">
        <v>54</v>
      </c>
      <c r="D31" s="8" t="s">
        <v>202</v>
      </c>
      <c r="E31" s="8" t="s">
        <v>32</v>
      </c>
      <c r="F31" s="8">
        <v>16</v>
      </c>
      <c r="G31" s="8" t="s">
        <v>27</v>
      </c>
    </row>
    <row r="32" spans="1:7" x14ac:dyDescent="0.55000000000000004">
      <c r="A32" s="7">
        <v>46085.704328703701</v>
      </c>
      <c r="B32" s="8" t="s">
        <v>34</v>
      </c>
      <c r="C32" s="8" t="s">
        <v>54</v>
      </c>
      <c r="D32" s="8" t="s">
        <v>85</v>
      </c>
      <c r="E32" s="8" t="s">
        <v>32</v>
      </c>
      <c r="F32" s="8">
        <v>24</v>
      </c>
      <c r="G32" s="8" t="s">
        <v>27</v>
      </c>
    </row>
    <row r="33" spans="1:7" x14ac:dyDescent="0.55000000000000004">
      <c r="A33" s="7">
        <v>46085.71875</v>
      </c>
      <c r="B33" s="8" t="s">
        <v>33</v>
      </c>
      <c r="C33" s="8" t="s">
        <v>91</v>
      </c>
      <c r="D33" s="8" t="s">
        <v>90</v>
      </c>
      <c r="E33" s="8" t="s">
        <v>32</v>
      </c>
      <c r="F33" s="8">
        <v>12</v>
      </c>
      <c r="G33" s="8" t="s">
        <v>27</v>
      </c>
    </row>
    <row r="34" spans="1:7" x14ac:dyDescent="0.55000000000000004">
      <c r="A34" s="7">
        <v>46085.718773148146</v>
      </c>
      <c r="B34" s="8" t="s">
        <v>34</v>
      </c>
      <c r="C34" s="8" t="s">
        <v>91</v>
      </c>
      <c r="D34" s="8" t="s">
        <v>94</v>
      </c>
      <c r="E34" s="8" t="s">
        <v>32</v>
      </c>
      <c r="F34" s="8">
        <v>8</v>
      </c>
      <c r="G34" s="8" t="s">
        <v>27</v>
      </c>
    </row>
    <row r="35" spans="1:7" x14ac:dyDescent="0.55000000000000004">
      <c r="A35" s="7">
        <v>46085.718819444446</v>
      </c>
      <c r="B35" s="8" t="s">
        <v>33</v>
      </c>
      <c r="C35" s="8" t="s">
        <v>54</v>
      </c>
      <c r="D35" s="8" t="s">
        <v>202</v>
      </c>
      <c r="E35" s="8" t="s">
        <v>32</v>
      </c>
      <c r="F35" s="8">
        <v>16</v>
      </c>
      <c r="G35" s="8" t="s">
        <v>27</v>
      </c>
    </row>
    <row r="36" spans="1:7" x14ac:dyDescent="0.55000000000000004">
      <c r="A36" s="7">
        <v>46085.718842592592</v>
      </c>
      <c r="B36" s="8" t="s">
        <v>34</v>
      </c>
      <c r="C36" s="8" t="s">
        <v>54</v>
      </c>
      <c r="D36" s="8" t="s">
        <v>85</v>
      </c>
      <c r="E36" s="8" t="s">
        <v>32</v>
      </c>
      <c r="F36" s="8">
        <v>24</v>
      </c>
      <c r="G36" s="8" t="s">
        <v>27</v>
      </c>
    </row>
    <row r="37" spans="1:7" x14ac:dyDescent="0.55000000000000004">
      <c r="A37" s="7">
        <v>46085.72111111111</v>
      </c>
      <c r="B37" s="8" t="s">
        <v>33</v>
      </c>
      <c r="C37" s="8" t="s">
        <v>91</v>
      </c>
      <c r="D37" s="8" t="s">
        <v>90</v>
      </c>
      <c r="E37" s="8" t="s">
        <v>32</v>
      </c>
      <c r="F37" s="8">
        <v>12</v>
      </c>
      <c r="G37" s="8" t="s">
        <v>27</v>
      </c>
    </row>
    <row r="38" spans="1:7" x14ac:dyDescent="0.55000000000000004">
      <c r="A38" s="7">
        <v>46085.721122685187</v>
      </c>
      <c r="B38" s="8" t="s">
        <v>34</v>
      </c>
      <c r="C38" s="8" t="s">
        <v>91</v>
      </c>
      <c r="D38" s="8" t="s">
        <v>94</v>
      </c>
      <c r="E38" s="8" t="s">
        <v>32</v>
      </c>
      <c r="F38" s="8">
        <v>8</v>
      </c>
      <c r="G38" s="8" t="s">
        <v>27</v>
      </c>
    </row>
    <row r="39" spans="1:7" x14ac:dyDescent="0.55000000000000004">
      <c r="A39" s="7">
        <v>46085.721168981479</v>
      </c>
      <c r="B39" s="8" t="s">
        <v>33</v>
      </c>
      <c r="C39" s="8" t="s">
        <v>54</v>
      </c>
      <c r="D39" s="8" t="s">
        <v>202</v>
      </c>
      <c r="E39" s="8" t="s">
        <v>32</v>
      </c>
      <c r="F39" s="8">
        <v>16</v>
      </c>
      <c r="G39" s="8" t="s">
        <v>27</v>
      </c>
    </row>
    <row r="40" spans="1:7" x14ac:dyDescent="0.55000000000000004">
      <c r="A40" s="7">
        <v>46085.721192129633</v>
      </c>
      <c r="B40" s="8" t="s">
        <v>34</v>
      </c>
      <c r="C40" s="8" t="s">
        <v>54</v>
      </c>
      <c r="D40" s="8" t="s">
        <v>85</v>
      </c>
      <c r="E40" s="8" t="s">
        <v>32</v>
      </c>
      <c r="F40" s="8">
        <v>24</v>
      </c>
      <c r="G40" s="8" t="s">
        <v>27</v>
      </c>
    </row>
    <row r="41" spans="1:7" x14ac:dyDescent="0.55000000000000004">
      <c r="A41" s="7">
        <v>46085.72552083333</v>
      </c>
      <c r="B41" s="8" t="s">
        <v>33</v>
      </c>
      <c r="C41" s="8" t="s">
        <v>91</v>
      </c>
      <c r="D41" s="8" t="s">
        <v>90</v>
      </c>
      <c r="E41" s="8" t="s">
        <v>32</v>
      </c>
      <c r="F41" s="8">
        <v>12</v>
      </c>
      <c r="G41" s="8" t="s">
        <v>27</v>
      </c>
    </row>
    <row r="42" spans="1:7" x14ac:dyDescent="0.55000000000000004">
      <c r="A42" s="7">
        <v>46085.725543981483</v>
      </c>
      <c r="B42" s="8" t="s">
        <v>34</v>
      </c>
      <c r="C42" s="8" t="s">
        <v>91</v>
      </c>
      <c r="D42" s="8" t="s">
        <v>94</v>
      </c>
      <c r="E42" s="8" t="s">
        <v>32</v>
      </c>
      <c r="F42" s="8">
        <v>8</v>
      </c>
      <c r="G42" s="8" t="s">
        <v>27</v>
      </c>
    </row>
    <row r="43" spans="1:7" x14ac:dyDescent="0.55000000000000004">
      <c r="A43" s="7">
        <v>46085.725590277776</v>
      </c>
      <c r="B43" s="8" t="s">
        <v>33</v>
      </c>
      <c r="C43" s="8" t="s">
        <v>54</v>
      </c>
      <c r="D43" s="8" t="s">
        <v>202</v>
      </c>
      <c r="E43" s="8" t="s">
        <v>32</v>
      </c>
      <c r="F43" s="8">
        <v>16</v>
      </c>
      <c r="G43" s="8" t="s">
        <v>27</v>
      </c>
    </row>
    <row r="44" spans="1:7" x14ac:dyDescent="0.55000000000000004">
      <c r="A44" s="7">
        <v>46085.725613425922</v>
      </c>
      <c r="B44" s="8" t="s">
        <v>34</v>
      </c>
      <c r="C44" s="8" t="s">
        <v>54</v>
      </c>
      <c r="D44" s="8" t="s">
        <v>85</v>
      </c>
      <c r="E44" s="8" t="s">
        <v>32</v>
      </c>
      <c r="F44" s="8">
        <v>24</v>
      </c>
      <c r="G44" s="8" t="s">
        <v>27</v>
      </c>
    </row>
    <row r="45" spans="1:7" x14ac:dyDescent="0.55000000000000004">
      <c r="A45" s="7">
        <v>46085.729768518519</v>
      </c>
      <c r="B45" s="8" t="s">
        <v>33</v>
      </c>
      <c r="C45" s="8" t="s">
        <v>91</v>
      </c>
      <c r="D45" s="8" t="s">
        <v>90</v>
      </c>
      <c r="E45" s="8" t="s">
        <v>32</v>
      </c>
      <c r="F45" s="8">
        <v>12</v>
      </c>
      <c r="G45" s="8" t="s">
        <v>27</v>
      </c>
    </row>
    <row r="46" spans="1:7" x14ac:dyDescent="0.55000000000000004">
      <c r="A46" s="7">
        <v>46085.729791666665</v>
      </c>
      <c r="B46" s="8" t="s">
        <v>34</v>
      </c>
      <c r="C46" s="8" t="s">
        <v>91</v>
      </c>
      <c r="D46" s="8" t="s">
        <v>94</v>
      </c>
      <c r="E46" s="8" t="s">
        <v>32</v>
      </c>
      <c r="F46" s="8">
        <v>8</v>
      </c>
      <c r="G46" s="8" t="s">
        <v>27</v>
      </c>
    </row>
    <row r="47" spans="1:7" x14ac:dyDescent="0.55000000000000004">
      <c r="A47" s="7">
        <v>46085.730115740742</v>
      </c>
      <c r="B47" s="8" t="s">
        <v>95</v>
      </c>
      <c r="C47" s="8" t="s">
        <v>31</v>
      </c>
      <c r="D47" s="8" t="s">
        <v>205</v>
      </c>
      <c r="E47" s="8" t="s">
        <v>32</v>
      </c>
      <c r="F47" s="8">
        <v>0</v>
      </c>
      <c r="G47" s="8" t="s">
        <v>27</v>
      </c>
    </row>
    <row r="48" spans="1:7" x14ac:dyDescent="0.55000000000000004">
      <c r="A48" s="7">
        <v>46085.733946759261</v>
      </c>
      <c r="B48" s="8" t="s">
        <v>34</v>
      </c>
      <c r="C48" s="8" t="s">
        <v>91</v>
      </c>
      <c r="D48" s="8" t="s">
        <v>93</v>
      </c>
      <c r="E48" s="8" t="s">
        <v>32</v>
      </c>
      <c r="F48" s="8">
        <v>8</v>
      </c>
      <c r="G48" s="8" t="s">
        <v>27</v>
      </c>
    </row>
    <row r="49" spans="1:7" x14ac:dyDescent="0.55000000000000004">
      <c r="A49" s="7">
        <v>46085.734166666669</v>
      </c>
      <c r="B49" s="8" t="s">
        <v>95</v>
      </c>
      <c r="C49" s="8" t="s">
        <v>31</v>
      </c>
      <c r="D49" s="8" t="s">
        <v>206</v>
      </c>
      <c r="E49" s="8" t="s">
        <v>32</v>
      </c>
      <c r="F49" s="8">
        <v>0</v>
      </c>
      <c r="G49" s="8" t="s">
        <v>27</v>
      </c>
    </row>
    <row r="50" spans="1:7" x14ac:dyDescent="0.55000000000000004">
      <c r="A50" s="7">
        <v>46085.740740740737</v>
      </c>
      <c r="B50" s="8" t="s">
        <v>33</v>
      </c>
      <c r="C50" s="8" t="s">
        <v>91</v>
      </c>
      <c r="D50" s="8" t="s">
        <v>207</v>
      </c>
      <c r="E50" s="8" t="s">
        <v>32</v>
      </c>
      <c r="F50" s="8">
        <v>12</v>
      </c>
      <c r="G50" s="8" t="s">
        <v>27</v>
      </c>
    </row>
    <row r="51" spans="1:7" x14ac:dyDescent="0.55000000000000004">
      <c r="A51" s="7">
        <v>46086.302141203705</v>
      </c>
      <c r="B51" s="8" t="s">
        <v>33</v>
      </c>
      <c r="C51" s="8" t="s">
        <v>91</v>
      </c>
      <c r="D51" s="8" t="s">
        <v>90</v>
      </c>
      <c r="E51" s="8" t="s">
        <v>32</v>
      </c>
      <c r="F51" s="8">
        <v>12</v>
      </c>
      <c r="G51" s="8" t="s">
        <v>27</v>
      </c>
    </row>
    <row r="52" spans="1:7" x14ac:dyDescent="0.55000000000000004">
      <c r="A52" s="7">
        <v>46086.304675925923</v>
      </c>
      <c r="B52" s="8" t="s">
        <v>34</v>
      </c>
      <c r="C52" s="8" t="s">
        <v>91</v>
      </c>
      <c r="D52" s="8" t="s">
        <v>93</v>
      </c>
      <c r="E52" s="8" t="s">
        <v>32</v>
      </c>
      <c r="F52" s="8">
        <v>8</v>
      </c>
      <c r="G52" s="8" t="s">
        <v>27</v>
      </c>
    </row>
    <row r="53" spans="1:7" x14ac:dyDescent="0.55000000000000004">
      <c r="A53" s="7">
        <v>46086.304768518516</v>
      </c>
      <c r="B53" s="8" t="s">
        <v>33</v>
      </c>
      <c r="C53" s="8" t="s">
        <v>91</v>
      </c>
      <c r="D53" s="8" t="s">
        <v>90</v>
      </c>
      <c r="E53" s="8" t="s">
        <v>32</v>
      </c>
      <c r="F53" s="8">
        <v>12</v>
      </c>
      <c r="G53" s="8" t="s">
        <v>27</v>
      </c>
    </row>
    <row r="54" spans="1:7" x14ac:dyDescent="0.55000000000000004">
      <c r="A54" s="7">
        <v>46086.307037037041</v>
      </c>
      <c r="B54" s="8" t="s">
        <v>33</v>
      </c>
      <c r="C54" s="8" t="s">
        <v>91</v>
      </c>
      <c r="D54" s="8" t="s">
        <v>90</v>
      </c>
      <c r="E54" s="8" t="s">
        <v>32</v>
      </c>
      <c r="F54" s="8">
        <v>12</v>
      </c>
      <c r="G54" s="8" t="s">
        <v>27</v>
      </c>
    </row>
    <row r="55" spans="1:7" x14ac:dyDescent="0.55000000000000004">
      <c r="A55" s="7">
        <v>46086.307083333333</v>
      </c>
      <c r="B55" s="8" t="s">
        <v>33</v>
      </c>
      <c r="C55" s="8" t="s">
        <v>54</v>
      </c>
      <c r="D55" s="8" t="s">
        <v>202</v>
      </c>
      <c r="E55" s="8" t="s">
        <v>32</v>
      </c>
      <c r="F55" s="8">
        <v>16</v>
      </c>
      <c r="G55" s="8" t="s">
        <v>27</v>
      </c>
    </row>
    <row r="56" spans="1:7" x14ac:dyDescent="0.55000000000000004">
      <c r="A56" s="7">
        <v>46086.309305555558</v>
      </c>
      <c r="B56" s="8" t="s">
        <v>33</v>
      </c>
      <c r="C56" s="8" t="s">
        <v>54</v>
      </c>
      <c r="D56" s="8" t="s">
        <v>208</v>
      </c>
      <c r="E56" s="8" t="s">
        <v>32</v>
      </c>
      <c r="F56" s="8">
        <v>16</v>
      </c>
      <c r="G56" s="8" t="s">
        <v>27</v>
      </c>
    </row>
    <row r="57" spans="1:7" x14ac:dyDescent="0.55000000000000004">
      <c r="A57" s="7">
        <v>46086.648958333331</v>
      </c>
      <c r="B57" s="8" t="s">
        <v>33</v>
      </c>
      <c r="C57" s="8" t="s">
        <v>54</v>
      </c>
      <c r="D57" s="8" t="s">
        <v>202</v>
      </c>
      <c r="E57" s="8" t="s">
        <v>32</v>
      </c>
      <c r="F57" s="8">
        <v>16</v>
      </c>
      <c r="G57" s="8" t="s">
        <v>27</v>
      </c>
    </row>
    <row r="58" spans="1:7" x14ac:dyDescent="0.55000000000000004">
      <c r="A58" s="7">
        <v>46086.650520833333</v>
      </c>
      <c r="B58" s="8" t="s">
        <v>33</v>
      </c>
      <c r="C58" s="8" t="s">
        <v>54</v>
      </c>
      <c r="D58" s="8" t="s">
        <v>210</v>
      </c>
      <c r="E58" s="8" t="s">
        <v>32</v>
      </c>
      <c r="F58" s="8">
        <v>16</v>
      </c>
      <c r="G58" s="8" t="s">
        <v>27</v>
      </c>
    </row>
    <row r="59" spans="1:7" x14ac:dyDescent="0.55000000000000004">
      <c r="A59" s="7">
        <v>46086.650787037041</v>
      </c>
      <c r="B59" s="8" t="s">
        <v>33</v>
      </c>
      <c r="C59" s="8" t="s">
        <v>91</v>
      </c>
      <c r="D59" s="8" t="s">
        <v>90</v>
      </c>
      <c r="E59" s="8" t="s">
        <v>32</v>
      </c>
      <c r="F59" s="8">
        <v>12</v>
      </c>
      <c r="G59" s="8" t="s">
        <v>27</v>
      </c>
    </row>
    <row r="60" spans="1:7" x14ac:dyDescent="0.55000000000000004">
      <c r="A60" s="7">
        <v>46086.650949074072</v>
      </c>
      <c r="B60" s="8" t="s">
        <v>33</v>
      </c>
      <c r="C60" s="8" t="s">
        <v>54</v>
      </c>
      <c r="D60" s="8" t="s">
        <v>202</v>
      </c>
      <c r="E60" s="8" t="s">
        <v>32</v>
      </c>
      <c r="F60" s="8">
        <v>16</v>
      </c>
      <c r="G60" s="8" t="s">
        <v>27</v>
      </c>
    </row>
    <row r="61" spans="1:7" x14ac:dyDescent="0.55000000000000004">
      <c r="A61" s="7">
        <v>46086.662615740737</v>
      </c>
      <c r="B61" s="8" t="s">
        <v>33</v>
      </c>
      <c r="C61" s="8" t="s">
        <v>54</v>
      </c>
      <c r="D61" s="8" t="s">
        <v>202</v>
      </c>
      <c r="E61" s="8" t="s">
        <v>32</v>
      </c>
      <c r="F61" s="8">
        <v>16</v>
      </c>
      <c r="G61" s="8" t="s">
        <v>27</v>
      </c>
    </row>
    <row r="62" spans="1:7" x14ac:dyDescent="0.55000000000000004">
      <c r="A62" s="7">
        <v>46086.663229166668</v>
      </c>
      <c r="B62" s="8" t="s">
        <v>33</v>
      </c>
      <c r="C62" s="8" t="s">
        <v>54</v>
      </c>
      <c r="D62" s="8" t="s">
        <v>210</v>
      </c>
      <c r="E62" s="8" t="s">
        <v>32</v>
      </c>
      <c r="F62" s="8">
        <v>16</v>
      </c>
      <c r="G62" s="8" t="s">
        <v>27</v>
      </c>
    </row>
    <row r="63" spans="1:7" x14ac:dyDescent="0.55000000000000004">
      <c r="A63" s="7">
        <v>46086.663923611108</v>
      </c>
      <c r="B63" s="8" t="s">
        <v>33</v>
      </c>
      <c r="C63" s="8" t="s">
        <v>54</v>
      </c>
      <c r="D63" s="8" t="s">
        <v>210</v>
      </c>
      <c r="E63" s="8" t="s">
        <v>32</v>
      </c>
      <c r="F63" s="8">
        <v>16</v>
      </c>
      <c r="G63" s="8" t="s">
        <v>27</v>
      </c>
    </row>
    <row r="64" spans="1:7" x14ac:dyDescent="0.55000000000000004">
      <c r="A64" s="7">
        <v>46086.669537037036</v>
      </c>
      <c r="B64" s="8" t="s">
        <v>33</v>
      </c>
      <c r="C64" s="8" t="s">
        <v>54</v>
      </c>
      <c r="D64" s="8" t="s">
        <v>210</v>
      </c>
      <c r="E64" s="8" t="s">
        <v>32</v>
      </c>
      <c r="F64" s="8">
        <v>16</v>
      </c>
      <c r="G64" s="8" t="s">
        <v>27</v>
      </c>
    </row>
    <row r="65" spans="1:7" x14ac:dyDescent="0.55000000000000004">
      <c r="A65" s="7">
        <v>46086.669861111113</v>
      </c>
      <c r="B65" s="8" t="s">
        <v>33</v>
      </c>
      <c r="C65" s="8" t="s">
        <v>54</v>
      </c>
      <c r="D65" s="8" t="s">
        <v>210</v>
      </c>
      <c r="E65" s="8" t="s">
        <v>32</v>
      </c>
      <c r="F65" s="8">
        <v>16</v>
      </c>
      <c r="G65" s="8" t="s">
        <v>27</v>
      </c>
    </row>
    <row r="66" spans="1:7" x14ac:dyDescent="0.55000000000000004">
      <c r="A66" s="7">
        <v>46086.670208333337</v>
      </c>
      <c r="B66" s="8" t="s">
        <v>33</v>
      </c>
      <c r="C66" s="8" t="s">
        <v>54</v>
      </c>
      <c r="D66" s="8" t="s">
        <v>202</v>
      </c>
      <c r="E66" s="8" t="s">
        <v>32</v>
      </c>
      <c r="F66" s="8">
        <v>16</v>
      </c>
      <c r="G66" s="8" t="s">
        <v>27</v>
      </c>
    </row>
    <row r="67" spans="1:7" x14ac:dyDescent="0.55000000000000004">
      <c r="A67" s="7">
        <v>46086.677048611113</v>
      </c>
      <c r="B67" s="8" t="s">
        <v>33</v>
      </c>
      <c r="C67" s="8" t="s">
        <v>54</v>
      </c>
      <c r="D67" s="8" t="s">
        <v>202</v>
      </c>
      <c r="E67" s="8" t="s">
        <v>32</v>
      </c>
      <c r="F67" s="8">
        <v>16</v>
      </c>
      <c r="G67" s="8" t="s">
        <v>27</v>
      </c>
    </row>
    <row r="68" spans="1:7" x14ac:dyDescent="0.55000000000000004">
      <c r="A68" s="7">
        <v>46086.677303240744</v>
      </c>
      <c r="B68" s="8" t="s">
        <v>33</v>
      </c>
      <c r="C68" s="8" t="s">
        <v>54</v>
      </c>
      <c r="D68" s="8" t="s">
        <v>202</v>
      </c>
      <c r="E68" s="8" t="s">
        <v>32</v>
      </c>
      <c r="F68" s="8">
        <v>16</v>
      </c>
      <c r="G68" s="8" t="s">
        <v>27</v>
      </c>
    </row>
    <row r="69" spans="1:7" x14ac:dyDescent="0.55000000000000004">
      <c r="A69" s="7">
        <v>46086.678101851852</v>
      </c>
      <c r="B69" s="8" t="s">
        <v>33</v>
      </c>
      <c r="C69" s="8" t="s">
        <v>54</v>
      </c>
      <c r="D69" s="8" t="s">
        <v>202</v>
      </c>
      <c r="E69" s="8" t="s">
        <v>32</v>
      </c>
      <c r="F69" s="8">
        <v>16</v>
      </c>
      <c r="G69" s="8" t="s">
        <v>27</v>
      </c>
    </row>
    <row r="70" spans="1:7" x14ac:dyDescent="0.55000000000000004">
      <c r="A70" s="7">
        <v>46086.678483796299</v>
      </c>
      <c r="B70" s="8" t="s">
        <v>33</v>
      </c>
      <c r="C70" s="8" t="s">
        <v>54</v>
      </c>
      <c r="D70" s="8" t="s">
        <v>202</v>
      </c>
      <c r="E70" s="8" t="s">
        <v>32</v>
      </c>
      <c r="F70" s="8">
        <v>16</v>
      </c>
      <c r="G70" s="8" t="s">
        <v>27</v>
      </c>
    </row>
    <row r="71" spans="1:7" x14ac:dyDescent="0.55000000000000004">
      <c r="A71" s="7">
        <v>46086.681655092594</v>
      </c>
      <c r="B71" s="8" t="s">
        <v>33</v>
      </c>
      <c r="C71" s="8" t="s">
        <v>54</v>
      </c>
      <c r="D71" s="8" t="s">
        <v>202</v>
      </c>
      <c r="E71" s="8" t="s">
        <v>32</v>
      </c>
      <c r="F71" s="8">
        <v>16</v>
      </c>
      <c r="G71" s="8" t="s">
        <v>27</v>
      </c>
    </row>
    <row r="72" spans="1:7" x14ac:dyDescent="0.55000000000000004">
      <c r="A72" s="7">
        <v>46086.688402777778</v>
      </c>
      <c r="B72" s="8" t="s">
        <v>33</v>
      </c>
      <c r="C72" s="8" t="s">
        <v>54</v>
      </c>
      <c r="D72" s="8" t="s">
        <v>202</v>
      </c>
      <c r="E72" s="8" t="s">
        <v>32</v>
      </c>
      <c r="F72" s="8">
        <v>16</v>
      </c>
      <c r="G72" s="8" t="s">
        <v>27</v>
      </c>
    </row>
    <row r="73" spans="1:7" x14ac:dyDescent="0.55000000000000004">
      <c r="A73" s="7">
        <v>46177.450289351851</v>
      </c>
      <c r="B73" s="8" t="s">
        <v>34</v>
      </c>
      <c r="C73" s="8" t="s">
        <v>91</v>
      </c>
      <c r="D73" s="8" t="s">
        <v>93</v>
      </c>
      <c r="E73" s="8" t="s">
        <v>32</v>
      </c>
      <c r="F73" s="8">
        <v>8</v>
      </c>
      <c r="G73" s="8" t="s">
        <v>27</v>
      </c>
    </row>
    <row r="74" spans="1:7" x14ac:dyDescent="0.55000000000000004">
      <c r="A74" s="7">
        <v>46177.450960648152</v>
      </c>
      <c r="B74" s="8" t="s">
        <v>34</v>
      </c>
      <c r="C74" s="8" t="s">
        <v>91</v>
      </c>
      <c r="D74" s="8" t="s">
        <v>93</v>
      </c>
      <c r="E74" s="8" t="s">
        <v>32</v>
      </c>
      <c r="F74" s="8">
        <v>8</v>
      </c>
      <c r="G74" s="8" t="s">
        <v>27</v>
      </c>
    </row>
    <row r="75" spans="1:7" x14ac:dyDescent="0.55000000000000004">
      <c r="A75" s="7">
        <v>46177.451828703706</v>
      </c>
      <c r="B75" s="8" t="s">
        <v>34</v>
      </c>
      <c r="C75" s="8" t="s">
        <v>91</v>
      </c>
      <c r="D75" s="8" t="s">
        <v>93</v>
      </c>
      <c r="E75" s="8" t="s">
        <v>32</v>
      </c>
      <c r="F75" s="8">
        <v>8</v>
      </c>
      <c r="G75" s="8" t="s">
        <v>27</v>
      </c>
    </row>
    <row r="76" spans="1:7" x14ac:dyDescent="0.55000000000000004">
      <c r="A76" s="7">
        <v>46177.452175925922</v>
      </c>
      <c r="B76" s="8" t="s">
        <v>34</v>
      </c>
      <c r="C76" s="8" t="s">
        <v>91</v>
      </c>
      <c r="D76" s="8" t="s">
        <v>93</v>
      </c>
      <c r="E76" s="8" t="s">
        <v>32</v>
      </c>
      <c r="F76" s="8">
        <v>8</v>
      </c>
      <c r="G76" s="8" t="s">
        <v>27</v>
      </c>
    </row>
    <row r="77" spans="1:7" x14ac:dyDescent="0.55000000000000004">
      <c r="A77" s="7">
        <v>46177.454328703701</v>
      </c>
      <c r="B77" s="8" t="s">
        <v>34</v>
      </c>
      <c r="C77" s="8" t="s">
        <v>91</v>
      </c>
      <c r="D77" s="8" t="s">
        <v>93</v>
      </c>
      <c r="E77" s="8" t="s">
        <v>32</v>
      </c>
      <c r="F77" s="8">
        <v>8</v>
      </c>
      <c r="G77" s="8" t="s">
        <v>27</v>
      </c>
    </row>
    <row r="78" spans="1:7" x14ac:dyDescent="0.55000000000000004">
      <c r="A78" s="7">
        <v>46234.649791666663</v>
      </c>
      <c r="B78" s="8" t="s">
        <v>239</v>
      </c>
      <c r="C78" s="8" t="s">
        <v>31</v>
      </c>
      <c r="D78" s="8" t="s">
        <v>240</v>
      </c>
      <c r="E78" s="8" t="s">
        <v>32</v>
      </c>
      <c r="F78" s="8">
        <v>11</v>
      </c>
      <c r="G78" s="8" t="s">
        <v>27</v>
      </c>
    </row>
    <row r="79" spans="1:7" x14ac:dyDescent="0.55000000000000004">
      <c r="A79" s="7">
        <v>46234.650520833333</v>
      </c>
      <c r="B79" s="8" t="s">
        <v>239</v>
      </c>
      <c r="C79" s="8" t="s">
        <v>31</v>
      </c>
      <c r="D79" s="8" t="s">
        <v>240</v>
      </c>
      <c r="E79" s="8" t="s">
        <v>32</v>
      </c>
      <c r="F79" s="8">
        <v>8</v>
      </c>
      <c r="G79" s="8" t="s">
        <v>27</v>
      </c>
    </row>
    <row r="80" spans="1:7" x14ac:dyDescent="0.55000000000000004">
      <c r="A80" s="7">
        <v>46234.652546296296</v>
      </c>
      <c r="B80" s="8" t="s">
        <v>239</v>
      </c>
      <c r="C80" s="8" t="s">
        <v>31</v>
      </c>
      <c r="D80" s="8" t="s">
        <v>244</v>
      </c>
      <c r="E80" s="8" t="s">
        <v>32</v>
      </c>
      <c r="F80" s="8">
        <v>8</v>
      </c>
      <c r="G80" s="8" t="s">
        <v>27</v>
      </c>
    </row>
    <row r="81" spans="1:7" x14ac:dyDescent="0.55000000000000004">
      <c r="A81" s="7">
        <v>46236.542546296296</v>
      </c>
      <c r="B81" s="8" t="s">
        <v>239</v>
      </c>
      <c r="C81" s="8" t="s">
        <v>213</v>
      </c>
      <c r="D81" s="8" t="s">
        <v>245</v>
      </c>
      <c r="E81" s="8" t="s">
        <v>32</v>
      </c>
      <c r="F81" s="8">
        <v>8</v>
      </c>
      <c r="G81" s="8" t="s">
        <v>27</v>
      </c>
    </row>
    <row r="82" spans="1:7" x14ac:dyDescent="0.55000000000000004">
      <c r="A82" s="7">
        <v>46236.55678240741</v>
      </c>
      <c r="B82" s="8" t="s">
        <v>239</v>
      </c>
      <c r="C82" s="8" t="s">
        <v>91</v>
      </c>
      <c r="D82" s="8" t="s">
        <v>246</v>
      </c>
      <c r="E82" s="8" t="s">
        <v>32</v>
      </c>
      <c r="F82" s="8">
        <v>8</v>
      </c>
      <c r="G82" s="8" t="s">
        <v>27</v>
      </c>
    </row>
    <row r="83" spans="1:7" x14ac:dyDescent="0.55000000000000004">
      <c r="A83" s="7">
        <v>46236.557071759256</v>
      </c>
      <c r="B83" s="8" t="s">
        <v>239</v>
      </c>
      <c r="C83" s="8" t="s">
        <v>91</v>
      </c>
      <c r="D83" s="8" t="s">
        <v>247</v>
      </c>
      <c r="E83" s="8" t="s">
        <v>32</v>
      </c>
      <c r="F83" s="8">
        <v>17</v>
      </c>
      <c r="G83" s="8" t="s">
        <v>27</v>
      </c>
    </row>
    <row r="84" spans="1:7" x14ac:dyDescent="0.55000000000000004">
      <c r="A84" s="7">
        <v>46236.561666666668</v>
      </c>
      <c r="B84" s="8" t="s">
        <v>239</v>
      </c>
      <c r="C84" s="8" t="s">
        <v>91</v>
      </c>
      <c r="D84" s="8" t="s">
        <v>246</v>
      </c>
      <c r="E84" s="8" t="s">
        <v>32</v>
      </c>
      <c r="F84" s="8">
        <v>8</v>
      </c>
      <c r="G84" s="8" t="s">
        <v>27</v>
      </c>
    </row>
    <row r="85" spans="1:7" x14ac:dyDescent="0.55000000000000004">
      <c r="A85" s="7">
        <v>46236.561793981484</v>
      </c>
      <c r="B85" s="8" t="s">
        <v>239</v>
      </c>
      <c r="C85" s="8" t="s">
        <v>91</v>
      </c>
      <c r="D85" s="8" t="s">
        <v>247</v>
      </c>
      <c r="E85" s="8" t="s">
        <v>32</v>
      </c>
      <c r="F85" s="8">
        <v>17</v>
      </c>
      <c r="G85" s="8" t="s">
        <v>27</v>
      </c>
    </row>
    <row r="86" spans="1:7" x14ac:dyDescent="0.55000000000000004">
      <c r="A86" s="7">
        <v>46236.5625462963</v>
      </c>
      <c r="B86" s="8" t="s">
        <v>239</v>
      </c>
      <c r="C86" s="8" t="s">
        <v>91</v>
      </c>
      <c r="D86" s="8" t="s">
        <v>247</v>
      </c>
      <c r="E86" s="8" t="s">
        <v>32</v>
      </c>
      <c r="F86" s="8">
        <v>17</v>
      </c>
      <c r="G86" s="8" t="s">
        <v>27</v>
      </c>
    </row>
    <row r="87" spans="1:7" x14ac:dyDescent="0.55000000000000004">
      <c r="A87" s="7">
        <v>46236.56523148148</v>
      </c>
      <c r="B87" s="8" t="s">
        <v>239</v>
      </c>
      <c r="C87" s="8" t="s">
        <v>213</v>
      </c>
      <c r="D87" s="8" t="s">
        <v>246</v>
      </c>
      <c r="E87" s="8" t="s">
        <v>32</v>
      </c>
      <c r="F87" s="8">
        <v>8</v>
      </c>
      <c r="G87" s="8" t="s">
        <v>27</v>
      </c>
    </row>
    <row r="88" spans="1:7" x14ac:dyDescent="0.55000000000000004">
      <c r="A88" s="9">
        <v>46236.574756944443</v>
      </c>
      <c r="B88" s="10" t="s">
        <v>239</v>
      </c>
      <c r="C88" s="10" t="s">
        <v>213</v>
      </c>
      <c r="D88" s="10" t="s">
        <v>247</v>
      </c>
      <c r="E88" s="10" t="s">
        <v>32</v>
      </c>
      <c r="F88" s="10">
        <v>8</v>
      </c>
      <c r="G88" s="10" t="s">
        <v>27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E82B8-370E-46C2-9F91-370D5E302330}">
  <sheetPr codeName="Sheet21"/>
  <dimension ref="A1:F17"/>
  <sheetViews>
    <sheetView workbookViewId="0">
      <pane ySplit="1" topLeftCell="A2" activePane="bottomLeft" state="frozen"/>
      <selection activeCell="C2" sqref="C2"/>
      <selection pane="bottomLeft" activeCell="B3" sqref="B3"/>
    </sheetView>
  </sheetViews>
  <sheetFormatPr defaultRowHeight="14.4" x14ac:dyDescent="0.55000000000000004"/>
  <cols>
    <col min="1" max="1" width="4.68359375" bestFit="1" customWidth="1"/>
    <col min="2" max="2" width="16.3125" bestFit="1" customWidth="1"/>
    <col min="3" max="3" width="9.26171875" bestFit="1" customWidth="1"/>
    <col min="4" max="4" width="11.3125" bestFit="1" customWidth="1"/>
    <col min="5" max="6" width="12.9453125" bestFit="1" customWidth="1"/>
    <col min="7" max="7" width="6.68359375" bestFit="1" customWidth="1"/>
  </cols>
  <sheetData>
    <row r="1" spans="1:6" x14ac:dyDescent="0.55000000000000004">
      <c r="A1" s="1" t="s">
        <v>0</v>
      </c>
      <c r="B1" s="1" t="s">
        <v>66</v>
      </c>
      <c r="C1" s="1" t="s">
        <v>6</v>
      </c>
      <c r="D1" s="1" t="s">
        <v>5</v>
      </c>
      <c r="E1" s="1" t="s">
        <v>3</v>
      </c>
      <c r="F1" s="1" t="s">
        <v>4</v>
      </c>
    </row>
    <row r="2" spans="1:6" x14ac:dyDescent="0.55000000000000004">
      <c r="A2">
        <v>1001</v>
      </c>
      <c r="B2" t="s">
        <v>74</v>
      </c>
      <c r="C2" t="b">
        <v>1</v>
      </c>
      <c r="D2" s="2">
        <v>0</v>
      </c>
      <c r="E2" s="2">
        <v>150</v>
      </c>
      <c r="F2" s="2">
        <v>150</v>
      </c>
    </row>
    <row r="3" spans="1:6" x14ac:dyDescent="0.55000000000000004">
      <c r="A3">
        <v>1002</v>
      </c>
      <c r="B3" t="s">
        <v>75</v>
      </c>
      <c r="C3" t="b">
        <v>1</v>
      </c>
      <c r="D3" s="2">
        <v>0</v>
      </c>
      <c r="E3" s="2">
        <v>225.5</v>
      </c>
      <c r="F3" s="2">
        <v>225.5</v>
      </c>
    </row>
    <row r="4" spans="1:6" x14ac:dyDescent="0.55000000000000004">
      <c r="A4">
        <v>1003</v>
      </c>
      <c r="B4" t="s">
        <v>76</v>
      </c>
      <c r="C4" t="b">
        <v>1</v>
      </c>
      <c r="D4" s="2">
        <v>0</v>
      </c>
      <c r="E4" s="2">
        <v>5000</v>
      </c>
      <c r="F4" s="2">
        <v>5000</v>
      </c>
    </row>
    <row r="5" spans="1:6" s="4" customFormat="1" x14ac:dyDescent="0.55000000000000004">
      <c r="A5" s="4">
        <v>1004</v>
      </c>
      <c r="B5" s="4" t="s">
        <v>77</v>
      </c>
      <c r="C5" s="4" t="b">
        <v>0</v>
      </c>
      <c r="D5" s="5">
        <v>-0.25</v>
      </c>
      <c r="E5" s="5">
        <v>175</v>
      </c>
      <c r="F5" s="5">
        <v>175.25</v>
      </c>
    </row>
    <row r="6" spans="1:6" x14ac:dyDescent="0.55000000000000004">
      <c r="A6">
        <v>1005</v>
      </c>
      <c r="B6" t="s">
        <v>78</v>
      </c>
      <c r="C6" t="b">
        <v>1</v>
      </c>
      <c r="D6" s="2">
        <v>0</v>
      </c>
      <c r="E6" s="2">
        <v>50</v>
      </c>
      <c r="F6" s="2">
        <v>50</v>
      </c>
    </row>
    <row r="7" spans="1:6" x14ac:dyDescent="0.55000000000000004">
      <c r="A7">
        <v>1006</v>
      </c>
      <c r="B7" t="s">
        <v>79</v>
      </c>
      <c r="C7" t="b">
        <v>1</v>
      </c>
      <c r="D7" s="2">
        <v>0</v>
      </c>
      <c r="E7" s="2">
        <v>300</v>
      </c>
      <c r="F7" s="2">
        <v>300</v>
      </c>
    </row>
    <row r="8" spans="1:6" s="4" customFormat="1" x14ac:dyDescent="0.55000000000000004">
      <c r="A8" s="4">
        <v>1007</v>
      </c>
      <c r="B8" s="4" t="s">
        <v>80</v>
      </c>
      <c r="C8" s="4" t="b">
        <v>0</v>
      </c>
      <c r="D8" s="5">
        <v>0.25</v>
      </c>
      <c r="E8" s="5">
        <v>425.75</v>
      </c>
      <c r="F8" s="5">
        <v>425.5</v>
      </c>
    </row>
    <row r="9" spans="1:6" x14ac:dyDescent="0.55000000000000004">
      <c r="A9">
        <v>1008</v>
      </c>
      <c r="B9" t="s">
        <v>81</v>
      </c>
      <c r="C9" t="b">
        <v>1</v>
      </c>
      <c r="D9" s="2">
        <v>0</v>
      </c>
      <c r="E9" s="2">
        <v>10000</v>
      </c>
      <c r="F9" s="2">
        <v>10000</v>
      </c>
    </row>
    <row r="10" spans="1:6" x14ac:dyDescent="0.55000000000000004">
      <c r="A10">
        <v>1010</v>
      </c>
      <c r="B10" t="s">
        <v>82</v>
      </c>
      <c r="C10" t="b">
        <v>1</v>
      </c>
      <c r="D10" s="2">
        <v>0</v>
      </c>
      <c r="E10" s="2">
        <v>210</v>
      </c>
      <c r="F10" s="2">
        <v>210</v>
      </c>
    </row>
    <row r="11" spans="1:6" s="4" customFormat="1" x14ac:dyDescent="0.55000000000000004">
      <c r="A11" s="4">
        <v>1011</v>
      </c>
      <c r="B11" s="4" t="s">
        <v>83</v>
      </c>
      <c r="C11" s="4" t="b">
        <v>0</v>
      </c>
      <c r="D11" s="5">
        <v>-4.5</v>
      </c>
      <c r="E11" s="5">
        <v>275.5</v>
      </c>
      <c r="F11" s="5">
        <v>280</v>
      </c>
    </row>
    <row r="12" spans="1:6" x14ac:dyDescent="0.55000000000000004">
      <c r="A12">
        <v>1012</v>
      </c>
      <c r="B12" t="s">
        <v>84</v>
      </c>
      <c r="C12" t="b">
        <v>1</v>
      </c>
      <c r="D12" s="2">
        <v>0</v>
      </c>
      <c r="E12" s="2">
        <v>75</v>
      </c>
      <c r="F12" s="2">
        <v>75</v>
      </c>
    </row>
    <row r="13" spans="1:6" s="4" customFormat="1" x14ac:dyDescent="0.55000000000000004">
      <c r="A13" s="4">
        <v>1013</v>
      </c>
      <c r="C13" s="4" t="b">
        <v>0</v>
      </c>
      <c r="D13" s="5">
        <v>-195</v>
      </c>
      <c r="E13" s="5">
        <v>0</v>
      </c>
      <c r="F13" s="5">
        <v>195</v>
      </c>
    </row>
    <row r="14" spans="1:6" x14ac:dyDescent="0.55000000000000004">
      <c r="A14">
        <v>1014</v>
      </c>
      <c r="C14" t="b">
        <v>1</v>
      </c>
      <c r="D14" s="2">
        <v>-0.03</v>
      </c>
      <c r="E14" s="2">
        <v>0</v>
      </c>
      <c r="F14" s="2">
        <v>0.03</v>
      </c>
    </row>
    <row r="15" spans="1:6" x14ac:dyDescent="0.55000000000000004">
      <c r="A15">
        <v>1015</v>
      </c>
      <c r="C15" t="b">
        <v>1</v>
      </c>
      <c r="D15" s="2">
        <v>0.03</v>
      </c>
      <c r="E15" s="2">
        <v>0</v>
      </c>
      <c r="F15" s="2">
        <v>-0.03</v>
      </c>
    </row>
    <row r="16" spans="1:6" x14ac:dyDescent="0.55000000000000004">
      <c r="A16">
        <v>1016</v>
      </c>
      <c r="C16" t="b">
        <v>1</v>
      </c>
      <c r="D16" s="2">
        <v>-1.9999999999999997E-2</v>
      </c>
      <c r="E16" s="2">
        <v>0</v>
      </c>
      <c r="F16" s="2">
        <v>1.9999999999999997E-2</v>
      </c>
    </row>
    <row r="17" spans="1:6" x14ac:dyDescent="0.55000000000000004">
      <c r="A17">
        <v>1017</v>
      </c>
      <c r="C17" t="b">
        <v>1</v>
      </c>
      <c r="D17" s="2">
        <v>1.9999999999999997E-2</v>
      </c>
      <c r="E17" s="2">
        <v>0</v>
      </c>
      <c r="F17" s="2">
        <v>-1.9999999999999997E-2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90413-4E55-44AD-9174-FB265840C288}">
  <sheetPr codeName="Sheet23"/>
  <dimension ref="A1:G5"/>
  <sheetViews>
    <sheetView workbookViewId="0">
      <pane ySplit="1" topLeftCell="A2" activePane="bottomLeft" state="frozen"/>
      <selection activeCell="A4" sqref="A4"/>
      <selection pane="bottomLeft" activeCell="A4" sqref="A4"/>
    </sheetView>
  </sheetViews>
  <sheetFormatPr defaultRowHeight="14.4" x14ac:dyDescent="0.55000000000000004"/>
  <cols>
    <col min="1" max="1" width="11.3125" bestFit="1" customWidth="1"/>
    <col min="2" max="2" width="4.68359375" bestFit="1" customWidth="1"/>
    <col min="3" max="3" width="14.3671875" bestFit="1" customWidth="1"/>
    <col min="4" max="4" width="9.26171875" bestFit="1" customWidth="1"/>
    <col min="5" max="5" width="12.3125" bestFit="1" customWidth="1"/>
    <col min="6" max="7" width="12.9453125" bestFit="1" customWidth="1"/>
  </cols>
  <sheetData>
    <row r="1" spans="1:7" x14ac:dyDescent="0.55000000000000004">
      <c r="A1" s="1" t="s">
        <v>5</v>
      </c>
      <c r="B1" s="1" t="s">
        <v>0</v>
      </c>
      <c r="C1" s="1" t="s">
        <v>66</v>
      </c>
      <c r="D1" s="1" t="s">
        <v>6</v>
      </c>
      <c r="E1" s="1" t="s">
        <v>212</v>
      </c>
      <c r="F1" s="1" t="s">
        <v>3</v>
      </c>
      <c r="G1" s="1" t="s">
        <v>4</v>
      </c>
    </row>
    <row r="2" spans="1:7" s="4" customFormat="1" x14ac:dyDescent="0.55000000000000004">
      <c r="A2" s="5">
        <v>-0.25</v>
      </c>
      <c r="B2" s="4">
        <v>1004</v>
      </c>
      <c r="C2" s="5" t="s">
        <v>77</v>
      </c>
      <c r="D2" s="5" t="b">
        <v>0</v>
      </c>
      <c r="E2" s="4">
        <v>-0.25</v>
      </c>
      <c r="F2" s="4">
        <v>175</v>
      </c>
      <c r="G2" s="4">
        <v>175.25</v>
      </c>
    </row>
    <row r="3" spans="1:7" s="4" customFormat="1" x14ac:dyDescent="0.55000000000000004">
      <c r="A3" s="5">
        <v>0.25</v>
      </c>
      <c r="B3" s="4">
        <v>1007</v>
      </c>
      <c r="C3" s="5" t="s">
        <v>80</v>
      </c>
      <c r="D3" s="5" t="b">
        <v>0</v>
      </c>
      <c r="E3" s="4">
        <v>0.25</v>
      </c>
      <c r="F3" s="4">
        <v>425.75</v>
      </c>
      <c r="G3" s="4">
        <v>425.5</v>
      </c>
    </row>
    <row r="4" spans="1:7" s="4" customFormat="1" x14ac:dyDescent="0.55000000000000004">
      <c r="A4" s="5">
        <v>-4.5</v>
      </c>
      <c r="B4" s="4">
        <v>1011</v>
      </c>
      <c r="C4" s="5" t="s">
        <v>83</v>
      </c>
      <c r="D4" s="5" t="b">
        <v>0</v>
      </c>
      <c r="E4" s="4">
        <v>-4.5</v>
      </c>
      <c r="F4" s="4">
        <v>275.5</v>
      </c>
      <c r="G4" s="4">
        <v>280</v>
      </c>
    </row>
    <row r="5" spans="1:7" s="4" customFormat="1" x14ac:dyDescent="0.55000000000000004">
      <c r="A5" s="5">
        <v>-195</v>
      </c>
      <c r="B5" s="4">
        <v>1013</v>
      </c>
      <c r="C5" s="5"/>
      <c r="D5" s="5" t="b">
        <v>0</v>
      </c>
      <c r="E5" s="4">
        <v>-195</v>
      </c>
      <c r="F5" s="4">
        <v>0</v>
      </c>
      <c r="G5" s="4">
        <v>195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C14B5-C902-487A-8258-FE15FE190FDB}">
  <sheetPr codeName="Sheet4"/>
  <dimension ref="A1:F13"/>
  <sheetViews>
    <sheetView workbookViewId="0">
      <selection activeCell="A4" sqref="A4"/>
    </sheetView>
  </sheetViews>
  <sheetFormatPr defaultRowHeight="14.4" x14ac:dyDescent="0.55000000000000004"/>
  <cols>
    <col min="1" max="1" width="9.26171875" bestFit="1" customWidth="1"/>
    <col min="2" max="2" width="11.3125" bestFit="1" customWidth="1"/>
    <col min="3" max="3" width="4.68359375" bestFit="1" customWidth="1"/>
    <col min="4" max="5" width="12.9453125" bestFit="1" customWidth="1"/>
    <col min="6" max="6" width="14.3671875" bestFit="1" customWidth="1"/>
  </cols>
  <sheetData>
    <row r="1" spans="1:6" x14ac:dyDescent="0.55000000000000004">
      <c r="A1" s="1" t="s">
        <v>6</v>
      </c>
      <c r="B1" s="1" t="s">
        <v>5</v>
      </c>
      <c r="C1" s="1" t="s">
        <v>0</v>
      </c>
      <c r="D1" s="1" t="s">
        <v>3</v>
      </c>
      <c r="E1" s="1" t="s">
        <v>4</v>
      </c>
      <c r="F1" s="1" t="s">
        <v>66</v>
      </c>
    </row>
    <row r="2" spans="1:6" x14ac:dyDescent="0.55000000000000004">
      <c r="A2" t="b">
        <v>1</v>
      </c>
      <c r="B2" s="2">
        <v>0</v>
      </c>
      <c r="C2">
        <v>1001</v>
      </c>
      <c r="D2" s="2">
        <v>150</v>
      </c>
      <c r="E2" s="2">
        <v>150</v>
      </c>
      <c r="F2" t="s">
        <v>74</v>
      </c>
    </row>
    <row r="3" spans="1:6" x14ac:dyDescent="0.55000000000000004">
      <c r="A3" t="b">
        <v>1</v>
      </c>
      <c r="B3" s="2">
        <v>0</v>
      </c>
      <c r="C3">
        <v>1002</v>
      </c>
      <c r="D3" s="2">
        <v>225.5</v>
      </c>
      <c r="E3" s="2">
        <v>225.5</v>
      </c>
      <c r="F3" t="s">
        <v>75</v>
      </c>
    </row>
    <row r="4" spans="1:6" s="4" customFormat="1" x14ac:dyDescent="0.55000000000000004">
      <c r="A4" s="4" t="b">
        <v>0</v>
      </c>
      <c r="B4" s="5">
        <v>-0.25</v>
      </c>
      <c r="C4" s="4">
        <v>1004</v>
      </c>
      <c r="D4" s="5">
        <v>175</v>
      </c>
      <c r="E4" s="5">
        <v>175.25</v>
      </c>
      <c r="F4" s="4" t="s">
        <v>77</v>
      </c>
    </row>
    <row r="5" spans="1:6" x14ac:dyDescent="0.55000000000000004">
      <c r="A5" t="b">
        <v>1</v>
      </c>
      <c r="B5" s="2">
        <v>0</v>
      </c>
      <c r="C5">
        <v>1006</v>
      </c>
      <c r="D5" s="2">
        <v>300</v>
      </c>
      <c r="E5" s="2">
        <v>300</v>
      </c>
      <c r="F5" t="s">
        <v>79</v>
      </c>
    </row>
    <row r="6" spans="1:6" s="4" customFormat="1" x14ac:dyDescent="0.55000000000000004">
      <c r="A6" s="4" t="b">
        <v>0</v>
      </c>
      <c r="B6" s="5">
        <v>0.25</v>
      </c>
      <c r="C6" s="4">
        <v>1007</v>
      </c>
      <c r="D6" s="5">
        <v>425.75</v>
      </c>
      <c r="E6" s="5">
        <v>425.5</v>
      </c>
      <c r="F6" s="4" t="s">
        <v>80</v>
      </c>
    </row>
    <row r="7" spans="1:6" x14ac:dyDescent="0.55000000000000004">
      <c r="A7" t="b">
        <v>1</v>
      </c>
      <c r="B7" s="2">
        <v>0</v>
      </c>
      <c r="C7">
        <v>1010</v>
      </c>
      <c r="D7" s="2">
        <v>210</v>
      </c>
      <c r="E7" s="2">
        <v>210</v>
      </c>
      <c r="F7" t="s">
        <v>82</v>
      </c>
    </row>
    <row r="8" spans="1:6" s="4" customFormat="1" x14ac:dyDescent="0.55000000000000004">
      <c r="A8" s="4" t="b">
        <v>0</v>
      </c>
      <c r="B8" s="5">
        <v>-4.5</v>
      </c>
      <c r="C8" s="4">
        <v>1011</v>
      </c>
      <c r="D8" s="5">
        <v>275.5</v>
      </c>
      <c r="E8" s="5">
        <v>280</v>
      </c>
      <c r="F8" s="4" t="s">
        <v>83</v>
      </c>
    </row>
    <row r="9" spans="1:6" s="4" customFormat="1" x14ac:dyDescent="0.55000000000000004">
      <c r="A9" s="4" t="b">
        <v>0</v>
      </c>
      <c r="B9" s="5">
        <v>-195</v>
      </c>
      <c r="C9" s="4">
        <v>1013</v>
      </c>
      <c r="D9" s="5">
        <v>0</v>
      </c>
      <c r="E9" s="5">
        <v>195</v>
      </c>
    </row>
    <row r="10" spans="1:6" x14ac:dyDescent="0.55000000000000004">
      <c r="A10" t="b">
        <v>1</v>
      </c>
      <c r="B10" s="2">
        <v>-0.03</v>
      </c>
      <c r="C10">
        <v>1014</v>
      </c>
      <c r="D10" s="2">
        <v>0</v>
      </c>
      <c r="E10" s="2">
        <v>0.03</v>
      </c>
    </row>
    <row r="11" spans="1:6" x14ac:dyDescent="0.55000000000000004">
      <c r="A11" t="b">
        <v>1</v>
      </c>
      <c r="B11" s="2">
        <v>0.03</v>
      </c>
      <c r="C11">
        <v>1015</v>
      </c>
      <c r="D11" s="2">
        <v>0</v>
      </c>
      <c r="E11" s="2">
        <v>-0.03</v>
      </c>
    </row>
    <row r="12" spans="1:6" x14ac:dyDescent="0.55000000000000004">
      <c r="A12" t="b">
        <v>1</v>
      </c>
      <c r="B12" s="2">
        <v>-1.9999999999999997E-2</v>
      </c>
      <c r="C12">
        <v>1016</v>
      </c>
      <c r="D12" s="2">
        <v>0</v>
      </c>
      <c r="E12" s="2">
        <v>1.9999999999999997E-2</v>
      </c>
    </row>
    <row r="13" spans="1:6" x14ac:dyDescent="0.55000000000000004">
      <c r="A13" t="b">
        <v>1</v>
      </c>
      <c r="B13" s="2">
        <v>1.9999999999999997E-2</v>
      </c>
      <c r="C13">
        <v>1017</v>
      </c>
      <c r="D13" s="2">
        <v>0</v>
      </c>
      <c r="E13" s="2">
        <v>-1.9999999999999997E-2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35CD8-0B89-4BCC-A5ED-F303CB477D49}">
  <sheetPr codeName="Sheet5"/>
  <dimension ref="A1:F17"/>
  <sheetViews>
    <sheetView workbookViewId="0">
      <selection activeCell="H15" sqref="H15"/>
    </sheetView>
  </sheetViews>
  <sheetFormatPr defaultRowHeight="14.4" x14ac:dyDescent="0.55000000000000004"/>
  <cols>
    <col min="1" max="1" width="4.68359375" bestFit="1" customWidth="1"/>
    <col min="2" max="2" width="6.68359375" bestFit="1" customWidth="1"/>
    <col min="3" max="3" width="9.15625" bestFit="1" customWidth="1"/>
    <col min="4" max="5" width="12.9453125" bestFit="1" customWidth="1"/>
    <col min="6" max="6" width="14.26171875" bestFit="1" customWidth="1"/>
  </cols>
  <sheetData>
    <row r="1" spans="1:6" x14ac:dyDescent="0.55000000000000004">
      <c r="A1" s="1" t="s">
        <v>0</v>
      </c>
      <c r="B1" s="1" t="s">
        <v>11</v>
      </c>
      <c r="C1" s="1" t="s">
        <v>13</v>
      </c>
      <c r="D1" s="1" t="s">
        <v>3</v>
      </c>
      <c r="E1" s="1" t="s">
        <v>4</v>
      </c>
      <c r="F1" s="1" t="s">
        <v>66</v>
      </c>
    </row>
    <row r="2" spans="1:6" x14ac:dyDescent="0.55000000000000004">
      <c r="A2">
        <v>1001</v>
      </c>
      <c r="B2" t="s">
        <v>49</v>
      </c>
      <c r="C2">
        <v>100</v>
      </c>
      <c r="D2" s="2">
        <v>150</v>
      </c>
      <c r="E2" s="2">
        <v>150</v>
      </c>
      <c r="F2" t="s">
        <v>74</v>
      </c>
    </row>
    <row r="3" spans="1:6" x14ac:dyDescent="0.55000000000000004">
      <c r="A3">
        <v>1001</v>
      </c>
      <c r="B3" t="s">
        <v>49</v>
      </c>
      <c r="C3">
        <v>50</v>
      </c>
      <c r="D3" s="2">
        <v>150</v>
      </c>
      <c r="E3" s="2">
        <v>150</v>
      </c>
      <c r="F3" t="s">
        <v>74</v>
      </c>
    </row>
    <row r="4" spans="1:6" x14ac:dyDescent="0.55000000000000004">
      <c r="A4">
        <v>1002</v>
      </c>
      <c r="B4" t="s">
        <v>49</v>
      </c>
      <c r="C4">
        <v>150.5</v>
      </c>
      <c r="D4" s="2">
        <v>225.5</v>
      </c>
      <c r="E4" s="2">
        <v>225.5</v>
      </c>
      <c r="F4" t="s">
        <v>75</v>
      </c>
    </row>
    <row r="5" spans="1:6" x14ac:dyDescent="0.55000000000000004">
      <c r="A5">
        <v>1002</v>
      </c>
      <c r="B5" t="s">
        <v>49</v>
      </c>
      <c r="C5">
        <v>75</v>
      </c>
      <c r="D5" s="2">
        <v>225.5</v>
      </c>
      <c r="E5" s="2">
        <v>225.5</v>
      </c>
      <c r="F5" t="s">
        <v>75</v>
      </c>
    </row>
    <row r="6" spans="1:6" x14ac:dyDescent="0.55000000000000004">
      <c r="A6">
        <v>1006</v>
      </c>
      <c r="B6" t="s">
        <v>49</v>
      </c>
      <c r="C6">
        <v>200</v>
      </c>
      <c r="D6" s="2">
        <v>300</v>
      </c>
      <c r="E6" s="2">
        <v>300</v>
      </c>
      <c r="F6" t="s">
        <v>79</v>
      </c>
    </row>
    <row r="7" spans="1:6" x14ac:dyDescent="0.55000000000000004">
      <c r="A7">
        <v>1006</v>
      </c>
      <c r="B7" t="s">
        <v>49</v>
      </c>
      <c r="C7">
        <v>100</v>
      </c>
      <c r="D7" s="2">
        <v>300</v>
      </c>
      <c r="E7" s="2">
        <v>300</v>
      </c>
      <c r="F7" t="s">
        <v>79</v>
      </c>
    </row>
    <row r="8" spans="1:6" x14ac:dyDescent="0.55000000000000004">
      <c r="A8">
        <v>1010</v>
      </c>
      <c r="B8" t="s">
        <v>49</v>
      </c>
      <c r="C8">
        <v>150</v>
      </c>
      <c r="D8" s="2">
        <v>210</v>
      </c>
      <c r="E8" s="2">
        <v>210</v>
      </c>
      <c r="F8" t="s">
        <v>82</v>
      </c>
    </row>
    <row r="9" spans="1:6" x14ac:dyDescent="0.55000000000000004">
      <c r="A9">
        <v>1010</v>
      </c>
      <c r="B9" t="s">
        <v>49</v>
      </c>
      <c r="C9">
        <v>60</v>
      </c>
      <c r="D9" s="2">
        <v>210</v>
      </c>
      <c r="E9" s="2">
        <v>210</v>
      </c>
      <c r="F9" t="s">
        <v>82</v>
      </c>
    </row>
    <row r="10" spans="1:6" x14ac:dyDescent="0.55000000000000004">
      <c r="A10">
        <v>1014</v>
      </c>
      <c r="B10" t="s">
        <v>49</v>
      </c>
      <c r="C10">
        <v>0.01</v>
      </c>
      <c r="D10" s="2">
        <v>0</v>
      </c>
      <c r="E10" s="2">
        <v>0.03</v>
      </c>
    </row>
    <row r="11" spans="1:6" x14ac:dyDescent="0.55000000000000004">
      <c r="A11">
        <v>1014</v>
      </c>
      <c r="B11" t="s">
        <v>49</v>
      </c>
      <c r="C11">
        <v>0.02</v>
      </c>
      <c r="D11" s="2">
        <v>0</v>
      </c>
      <c r="E11" s="2">
        <v>0.03</v>
      </c>
    </row>
    <row r="12" spans="1:6" x14ac:dyDescent="0.55000000000000004">
      <c r="A12">
        <v>1015</v>
      </c>
      <c r="B12" t="s">
        <v>49</v>
      </c>
      <c r="C12">
        <v>-0.01</v>
      </c>
      <c r="D12" s="2">
        <v>0</v>
      </c>
      <c r="E12" s="2">
        <v>-0.03</v>
      </c>
    </row>
    <row r="13" spans="1:6" x14ac:dyDescent="0.55000000000000004">
      <c r="A13">
        <v>1015</v>
      </c>
      <c r="B13" t="s">
        <v>49</v>
      </c>
      <c r="C13">
        <v>-0.02</v>
      </c>
      <c r="D13" s="2">
        <v>0</v>
      </c>
      <c r="E13" s="2">
        <v>-0.03</v>
      </c>
    </row>
    <row r="14" spans="1:6" x14ac:dyDescent="0.55000000000000004">
      <c r="A14">
        <v>1016</v>
      </c>
      <c r="B14" t="s">
        <v>49</v>
      </c>
      <c r="C14">
        <v>0.03</v>
      </c>
      <c r="D14" s="2">
        <v>0</v>
      </c>
      <c r="E14" s="2">
        <v>1.9999999999999997E-2</v>
      </c>
    </row>
    <row r="15" spans="1:6" x14ac:dyDescent="0.55000000000000004">
      <c r="A15">
        <v>1016</v>
      </c>
      <c r="B15" t="s">
        <v>49</v>
      </c>
      <c r="C15">
        <v>-0.01</v>
      </c>
      <c r="D15" s="2">
        <v>0</v>
      </c>
      <c r="E15" s="2">
        <v>1.9999999999999997E-2</v>
      </c>
    </row>
    <row r="16" spans="1:6" x14ac:dyDescent="0.55000000000000004">
      <c r="A16">
        <v>1017</v>
      </c>
      <c r="B16" t="s">
        <v>49</v>
      </c>
      <c r="C16">
        <v>0.01</v>
      </c>
      <c r="D16" s="2">
        <v>0</v>
      </c>
      <c r="E16" s="2">
        <v>-1.9999999999999997E-2</v>
      </c>
    </row>
    <row r="17" spans="1:5" x14ac:dyDescent="0.55000000000000004">
      <c r="A17">
        <v>1017</v>
      </c>
      <c r="B17" t="s">
        <v>49</v>
      </c>
      <c r="C17">
        <v>-0.03</v>
      </c>
      <c r="D17" s="2">
        <v>0</v>
      </c>
      <c r="E17" s="2">
        <v>-1.9999999999999997E-2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617D9-546E-418E-A0D7-3C6F31105BD3}">
  <sheetPr codeName="Sheet6"/>
  <dimension ref="A1:E5"/>
  <sheetViews>
    <sheetView workbookViewId="0">
      <selection activeCell="A4" sqref="A4"/>
    </sheetView>
  </sheetViews>
  <sheetFormatPr defaultRowHeight="14.4" x14ac:dyDescent="0.55000000000000004"/>
  <cols>
    <col min="1" max="1" width="11.3125" bestFit="1" customWidth="1"/>
    <col min="2" max="2" width="4.68359375" bestFit="1" customWidth="1"/>
    <col min="3" max="4" width="12.9453125" bestFit="1" customWidth="1"/>
    <col min="5" max="5" width="14.3671875" bestFit="1" customWidth="1"/>
  </cols>
  <sheetData>
    <row r="1" spans="1:5" x14ac:dyDescent="0.55000000000000004">
      <c r="A1" s="1" t="s">
        <v>5</v>
      </c>
      <c r="B1" s="1" t="s">
        <v>0</v>
      </c>
      <c r="C1" s="1" t="s">
        <v>3</v>
      </c>
      <c r="D1" s="1" t="s">
        <v>4</v>
      </c>
      <c r="E1" s="1" t="s">
        <v>66</v>
      </c>
    </row>
    <row r="2" spans="1:5" s="4" customFormat="1" x14ac:dyDescent="0.55000000000000004">
      <c r="A2" s="5">
        <v>-0.25</v>
      </c>
      <c r="B2" s="4">
        <v>1004</v>
      </c>
      <c r="C2" s="5">
        <v>175</v>
      </c>
      <c r="D2" s="5">
        <v>175.25</v>
      </c>
      <c r="E2" s="4" t="s">
        <v>77</v>
      </c>
    </row>
    <row r="3" spans="1:5" s="4" customFormat="1" x14ac:dyDescent="0.55000000000000004">
      <c r="A3" s="5">
        <v>0.25</v>
      </c>
      <c r="B3" s="4">
        <v>1007</v>
      </c>
      <c r="C3" s="5">
        <v>425.75</v>
      </c>
      <c r="D3" s="5">
        <v>425.5</v>
      </c>
      <c r="E3" s="4" t="s">
        <v>80</v>
      </c>
    </row>
    <row r="4" spans="1:5" s="4" customFormat="1" x14ac:dyDescent="0.55000000000000004">
      <c r="A4" s="5">
        <v>-4.5</v>
      </c>
      <c r="B4" s="4">
        <v>1011</v>
      </c>
      <c r="C4" s="5">
        <v>275.5</v>
      </c>
      <c r="D4" s="5">
        <v>280</v>
      </c>
      <c r="E4" s="4" t="s">
        <v>83</v>
      </c>
    </row>
    <row r="5" spans="1:5" s="4" customFormat="1" x14ac:dyDescent="0.55000000000000004">
      <c r="A5" s="5">
        <v>-195</v>
      </c>
      <c r="B5" s="4">
        <v>1013</v>
      </c>
      <c r="C5" s="5">
        <v>0</v>
      </c>
      <c r="D5" s="5">
        <v>195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C04C3-8EBD-4753-B2F8-33A6F8033508}">
  <sheetPr codeName="Sheet14"/>
  <dimension ref="A1:F25"/>
  <sheetViews>
    <sheetView workbookViewId="0">
      <selection activeCell="A2" sqref="A2"/>
    </sheetView>
  </sheetViews>
  <sheetFormatPr defaultRowHeight="14.4" x14ac:dyDescent="0.55000000000000004"/>
  <cols>
    <col min="1" max="1" width="4.68359375" bestFit="1" customWidth="1"/>
    <col min="2" max="2" width="16.3125" bestFit="1" customWidth="1"/>
    <col min="3" max="3" width="6.68359375" bestFit="1" customWidth="1"/>
    <col min="4" max="4" width="9.15625" bestFit="1" customWidth="1"/>
    <col min="5" max="6" width="12.9453125" bestFit="1" customWidth="1"/>
  </cols>
  <sheetData>
    <row r="1" spans="1:6" x14ac:dyDescent="0.55000000000000004">
      <c r="A1" s="1" t="s">
        <v>0</v>
      </c>
      <c r="B1" s="1" t="s">
        <v>66</v>
      </c>
      <c r="C1" s="1" t="s">
        <v>11</v>
      </c>
      <c r="D1" s="1" t="s">
        <v>13</v>
      </c>
      <c r="E1" s="1" t="s">
        <v>3</v>
      </c>
      <c r="F1" s="1" t="s">
        <v>4</v>
      </c>
    </row>
    <row r="2" spans="1:6" x14ac:dyDescent="0.55000000000000004">
      <c r="A2">
        <v>1001</v>
      </c>
      <c r="B2" t="s">
        <v>74</v>
      </c>
      <c r="C2" t="s">
        <v>49</v>
      </c>
      <c r="D2">
        <v>100</v>
      </c>
      <c r="E2" s="2">
        <v>150</v>
      </c>
      <c r="F2" s="2">
        <v>150</v>
      </c>
    </row>
    <row r="3" spans="1:6" x14ac:dyDescent="0.55000000000000004">
      <c r="A3">
        <v>1001</v>
      </c>
      <c r="B3" t="s">
        <v>74</v>
      </c>
      <c r="C3" t="s">
        <v>49</v>
      </c>
      <c r="D3">
        <v>50</v>
      </c>
      <c r="E3" s="2">
        <v>150</v>
      </c>
      <c r="F3" s="2">
        <v>150</v>
      </c>
    </row>
    <row r="4" spans="1:6" x14ac:dyDescent="0.55000000000000004">
      <c r="A4">
        <v>1002</v>
      </c>
      <c r="B4" t="s">
        <v>75</v>
      </c>
      <c r="C4" t="s">
        <v>49</v>
      </c>
      <c r="D4">
        <v>150.5</v>
      </c>
      <c r="E4" s="2">
        <v>225.5</v>
      </c>
      <c r="F4" s="2">
        <v>225.5</v>
      </c>
    </row>
    <row r="5" spans="1:6" x14ac:dyDescent="0.55000000000000004">
      <c r="A5">
        <v>1002</v>
      </c>
      <c r="B5" t="s">
        <v>75</v>
      </c>
      <c r="C5" t="s">
        <v>49</v>
      </c>
      <c r="D5">
        <v>75</v>
      </c>
      <c r="E5" s="2">
        <v>225.5</v>
      </c>
      <c r="F5" s="2">
        <v>225.5</v>
      </c>
    </row>
    <row r="6" spans="1:6" x14ac:dyDescent="0.55000000000000004">
      <c r="A6">
        <v>1003</v>
      </c>
      <c r="B6" t="s">
        <v>76</v>
      </c>
      <c r="C6" t="s">
        <v>50</v>
      </c>
      <c r="D6">
        <v>3000</v>
      </c>
      <c r="E6" s="2">
        <v>5000</v>
      </c>
      <c r="F6" s="2">
        <v>5000</v>
      </c>
    </row>
    <row r="7" spans="1:6" x14ac:dyDescent="0.55000000000000004">
      <c r="A7">
        <v>1003</v>
      </c>
      <c r="B7" t="s">
        <v>76</v>
      </c>
      <c r="C7" t="s">
        <v>50</v>
      </c>
      <c r="D7">
        <v>2000</v>
      </c>
      <c r="E7" s="2">
        <v>5000</v>
      </c>
      <c r="F7" s="2">
        <v>5000</v>
      </c>
    </row>
    <row r="8" spans="1:6" x14ac:dyDescent="0.55000000000000004">
      <c r="A8">
        <v>1005</v>
      </c>
      <c r="B8" t="s">
        <v>78</v>
      </c>
      <c r="C8" t="s">
        <v>48</v>
      </c>
      <c r="D8">
        <v>30</v>
      </c>
      <c r="E8" s="2">
        <v>50</v>
      </c>
      <c r="F8" s="2">
        <v>50</v>
      </c>
    </row>
    <row r="9" spans="1:6" x14ac:dyDescent="0.55000000000000004">
      <c r="A9">
        <v>1005</v>
      </c>
      <c r="B9" t="s">
        <v>78</v>
      </c>
      <c r="C9" t="s">
        <v>48</v>
      </c>
      <c r="D9">
        <v>20</v>
      </c>
      <c r="E9" s="2">
        <v>50</v>
      </c>
      <c r="F9" s="2">
        <v>50</v>
      </c>
    </row>
    <row r="10" spans="1:6" x14ac:dyDescent="0.55000000000000004">
      <c r="A10">
        <v>1006</v>
      </c>
      <c r="B10" t="s">
        <v>79</v>
      </c>
      <c r="C10" t="s">
        <v>49</v>
      </c>
      <c r="D10">
        <v>200</v>
      </c>
      <c r="E10" s="2">
        <v>300</v>
      </c>
      <c r="F10" s="2">
        <v>300</v>
      </c>
    </row>
    <row r="11" spans="1:6" x14ac:dyDescent="0.55000000000000004">
      <c r="A11">
        <v>1006</v>
      </c>
      <c r="B11" t="s">
        <v>79</v>
      </c>
      <c r="C11" t="s">
        <v>49</v>
      </c>
      <c r="D11">
        <v>100</v>
      </c>
      <c r="E11" s="2">
        <v>300</v>
      </c>
      <c r="F11" s="2">
        <v>300</v>
      </c>
    </row>
    <row r="12" spans="1:6" x14ac:dyDescent="0.55000000000000004">
      <c r="A12">
        <v>1008</v>
      </c>
      <c r="B12" t="s">
        <v>81</v>
      </c>
      <c r="C12" t="s">
        <v>50</v>
      </c>
      <c r="D12">
        <v>7000</v>
      </c>
      <c r="E12" s="2">
        <v>10000</v>
      </c>
      <c r="F12" s="2">
        <v>10000</v>
      </c>
    </row>
    <row r="13" spans="1:6" x14ac:dyDescent="0.55000000000000004">
      <c r="A13">
        <v>1008</v>
      </c>
      <c r="B13" t="s">
        <v>81</v>
      </c>
      <c r="C13" t="s">
        <v>50</v>
      </c>
      <c r="D13">
        <v>3000</v>
      </c>
      <c r="E13" s="2">
        <v>10000</v>
      </c>
      <c r="F13" s="2">
        <v>10000</v>
      </c>
    </row>
    <row r="14" spans="1:6" x14ac:dyDescent="0.55000000000000004">
      <c r="A14">
        <v>1010</v>
      </c>
      <c r="B14" t="s">
        <v>82</v>
      </c>
      <c r="C14" t="s">
        <v>49</v>
      </c>
      <c r="D14">
        <v>150</v>
      </c>
      <c r="E14" s="2">
        <v>210</v>
      </c>
      <c r="F14" s="2">
        <v>210</v>
      </c>
    </row>
    <row r="15" spans="1:6" x14ac:dyDescent="0.55000000000000004">
      <c r="A15">
        <v>1010</v>
      </c>
      <c r="B15" t="s">
        <v>82</v>
      </c>
      <c r="C15" t="s">
        <v>49</v>
      </c>
      <c r="D15">
        <v>60</v>
      </c>
      <c r="E15" s="2">
        <v>210</v>
      </c>
      <c r="F15" s="2">
        <v>210</v>
      </c>
    </row>
    <row r="16" spans="1:6" x14ac:dyDescent="0.55000000000000004">
      <c r="A16">
        <v>1012</v>
      </c>
      <c r="B16" t="s">
        <v>84</v>
      </c>
      <c r="C16" t="s">
        <v>48</v>
      </c>
      <c r="D16">
        <v>45</v>
      </c>
      <c r="E16" s="2">
        <v>75</v>
      </c>
      <c r="F16" s="2">
        <v>75</v>
      </c>
    </row>
    <row r="17" spans="1:6" x14ac:dyDescent="0.55000000000000004">
      <c r="A17">
        <v>1012</v>
      </c>
      <c r="B17" t="s">
        <v>84</v>
      </c>
      <c r="C17" t="s">
        <v>48</v>
      </c>
      <c r="D17">
        <v>30</v>
      </c>
      <c r="E17" s="2">
        <v>75</v>
      </c>
      <c r="F17" s="2">
        <v>75</v>
      </c>
    </row>
    <row r="18" spans="1:6" x14ac:dyDescent="0.55000000000000004">
      <c r="A18">
        <v>1014</v>
      </c>
      <c r="C18" t="s">
        <v>49</v>
      </c>
      <c r="D18">
        <v>0.01</v>
      </c>
      <c r="E18" s="2">
        <v>0</v>
      </c>
      <c r="F18" s="2">
        <v>0.03</v>
      </c>
    </row>
    <row r="19" spans="1:6" x14ac:dyDescent="0.55000000000000004">
      <c r="A19">
        <v>1014</v>
      </c>
      <c r="C19" t="s">
        <v>49</v>
      </c>
      <c r="D19">
        <v>0.02</v>
      </c>
      <c r="E19" s="2">
        <v>0</v>
      </c>
      <c r="F19" s="2">
        <v>0.03</v>
      </c>
    </row>
    <row r="20" spans="1:6" x14ac:dyDescent="0.55000000000000004">
      <c r="A20">
        <v>1015</v>
      </c>
      <c r="C20" t="s">
        <v>49</v>
      </c>
      <c r="D20">
        <v>-0.01</v>
      </c>
      <c r="E20" s="2">
        <v>0</v>
      </c>
      <c r="F20" s="2">
        <v>-0.03</v>
      </c>
    </row>
    <row r="21" spans="1:6" x14ac:dyDescent="0.55000000000000004">
      <c r="A21">
        <v>1015</v>
      </c>
      <c r="C21" t="s">
        <v>49</v>
      </c>
      <c r="D21">
        <v>-0.02</v>
      </c>
      <c r="E21" s="2">
        <v>0</v>
      </c>
      <c r="F21" s="2">
        <v>-0.03</v>
      </c>
    </row>
    <row r="22" spans="1:6" x14ac:dyDescent="0.55000000000000004">
      <c r="A22">
        <v>1016</v>
      </c>
      <c r="C22" t="s">
        <v>49</v>
      </c>
      <c r="D22">
        <v>0.03</v>
      </c>
      <c r="E22" s="2">
        <v>0</v>
      </c>
      <c r="F22" s="2">
        <v>1.9999999999999997E-2</v>
      </c>
    </row>
    <row r="23" spans="1:6" x14ac:dyDescent="0.55000000000000004">
      <c r="A23">
        <v>1016</v>
      </c>
      <c r="C23" t="s">
        <v>49</v>
      </c>
      <c r="D23">
        <v>-0.01</v>
      </c>
      <c r="E23" s="2">
        <v>0</v>
      </c>
      <c r="F23" s="2">
        <v>1.9999999999999997E-2</v>
      </c>
    </row>
    <row r="24" spans="1:6" x14ac:dyDescent="0.55000000000000004">
      <c r="A24">
        <v>1017</v>
      </c>
      <c r="C24" t="s">
        <v>49</v>
      </c>
      <c r="D24">
        <v>0.01</v>
      </c>
      <c r="E24" s="2">
        <v>0</v>
      </c>
      <c r="F24" s="2">
        <v>-1.9999999999999997E-2</v>
      </c>
    </row>
    <row r="25" spans="1:6" x14ac:dyDescent="0.55000000000000004">
      <c r="A25">
        <v>1017</v>
      </c>
      <c r="C25" t="s">
        <v>49</v>
      </c>
      <c r="D25">
        <v>-0.03</v>
      </c>
      <c r="E25" s="2">
        <v>0</v>
      </c>
      <c r="F25" s="2">
        <v>-1.9999999999999997E-2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43BDB-9C84-4822-B23B-2DE8CE3C48B5}">
  <sheetPr codeName="Sheet16"/>
  <dimension ref="A1:G9"/>
  <sheetViews>
    <sheetView workbookViewId="0">
      <selection activeCell="A2" sqref="A2:G9"/>
    </sheetView>
  </sheetViews>
  <sheetFormatPr defaultRowHeight="14.4" x14ac:dyDescent="0.55000000000000004"/>
  <cols>
    <col min="1" max="1" width="11.578125" bestFit="1" customWidth="1"/>
    <col min="2" max="2" width="14.62890625" bestFit="1" customWidth="1"/>
    <col min="3" max="3" width="16.47265625" bestFit="1" customWidth="1"/>
    <col min="4" max="4" width="9.15625" bestFit="1" customWidth="1"/>
    <col min="5" max="5" width="10.15625" bestFit="1" customWidth="1"/>
    <col min="6" max="6" width="15.89453125" bestFit="1" customWidth="1"/>
    <col min="7" max="8" width="13.68359375" bestFit="1" customWidth="1"/>
  </cols>
  <sheetData>
    <row r="1" spans="1:7" x14ac:dyDescent="0.55000000000000004">
      <c r="A1" t="s">
        <v>63</v>
      </c>
      <c r="B1" t="s">
        <v>65</v>
      </c>
      <c r="C1" t="s">
        <v>67</v>
      </c>
      <c r="D1" t="s">
        <v>13</v>
      </c>
      <c r="E1" t="s">
        <v>68</v>
      </c>
      <c r="F1" t="s">
        <v>71</v>
      </c>
      <c r="G1" t="s">
        <v>73</v>
      </c>
    </row>
    <row r="2" spans="1:7" x14ac:dyDescent="0.55000000000000004">
      <c r="A2">
        <v>1001</v>
      </c>
      <c r="B2" t="s">
        <v>74</v>
      </c>
      <c r="C2" t="s">
        <v>49</v>
      </c>
      <c r="D2">
        <v>100</v>
      </c>
      <c r="E2" t="s">
        <v>70</v>
      </c>
      <c r="F2" s="3">
        <v>46177</v>
      </c>
      <c r="G2">
        <f t="shared" ref="G2:G9" si="0">20260604</f>
        <v>20260604</v>
      </c>
    </row>
    <row r="3" spans="1:7" x14ac:dyDescent="0.55000000000000004">
      <c r="A3">
        <v>1001</v>
      </c>
      <c r="B3" t="s">
        <v>74</v>
      </c>
      <c r="C3" t="s">
        <v>49</v>
      </c>
      <c r="D3">
        <v>50</v>
      </c>
      <c r="E3" t="s">
        <v>70</v>
      </c>
      <c r="F3" s="3">
        <v>46177</v>
      </c>
      <c r="G3">
        <f t="shared" si="0"/>
        <v>20260604</v>
      </c>
    </row>
    <row r="4" spans="1:7" x14ac:dyDescent="0.55000000000000004">
      <c r="A4">
        <v>1002</v>
      </c>
      <c r="B4" t="s">
        <v>75</v>
      </c>
      <c r="C4" t="s">
        <v>49</v>
      </c>
      <c r="D4">
        <v>150.5</v>
      </c>
      <c r="E4" t="s">
        <v>70</v>
      </c>
      <c r="F4" s="3">
        <v>46177</v>
      </c>
      <c r="G4">
        <f t="shared" si="0"/>
        <v>20260604</v>
      </c>
    </row>
    <row r="5" spans="1:7" x14ac:dyDescent="0.55000000000000004">
      <c r="A5">
        <v>1002</v>
      </c>
      <c r="B5" t="s">
        <v>75</v>
      </c>
      <c r="C5" t="s">
        <v>49</v>
      </c>
      <c r="D5">
        <v>75</v>
      </c>
      <c r="E5" t="s">
        <v>70</v>
      </c>
      <c r="F5" s="3">
        <v>46177</v>
      </c>
      <c r="G5">
        <f t="shared" si="0"/>
        <v>20260604</v>
      </c>
    </row>
    <row r="6" spans="1:7" x14ac:dyDescent="0.55000000000000004">
      <c r="A6">
        <v>1006</v>
      </c>
      <c r="B6" t="s">
        <v>79</v>
      </c>
      <c r="C6" t="s">
        <v>49</v>
      </c>
      <c r="D6">
        <v>200</v>
      </c>
      <c r="E6" t="s">
        <v>70</v>
      </c>
      <c r="F6" s="3">
        <v>46177</v>
      </c>
      <c r="G6">
        <f t="shared" si="0"/>
        <v>20260604</v>
      </c>
    </row>
    <row r="7" spans="1:7" x14ac:dyDescent="0.55000000000000004">
      <c r="A7">
        <v>1006</v>
      </c>
      <c r="B7" t="s">
        <v>79</v>
      </c>
      <c r="C7" t="s">
        <v>49</v>
      </c>
      <c r="D7">
        <v>100</v>
      </c>
      <c r="E7" t="s">
        <v>70</v>
      </c>
      <c r="F7" s="3">
        <v>46177</v>
      </c>
      <c r="G7">
        <f t="shared" si="0"/>
        <v>20260604</v>
      </c>
    </row>
    <row r="8" spans="1:7" x14ac:dyDescent="0.55000000000000004">
      <c r="A8">
        <v>1010</v>
      </c>
      <c r="B8" t="s">
        <v>82</v>
      </c>
      <c r="C8" t="s">
        <v>49</v>
      </c>
      <c r="D8">
        <v>150</v>
      </c>
      <c r="E8" t="s">
        <v>70</v>
      </c>
      <c r="F8" s="3">
        <v>46177</v>
      </c>
      <c r="G8">
        <f t="shared" si="0"/>
        <v>20260604</v>
      </c>
    </row>
    <row r="9" spans="1:7" x14ac:dyDescent="0.55000000000000004">
      <c r="A9">
        <v>1010</v>
      </c>
      <c r="B9" t="s">
        <v>82</v>
      </c>
      <c r="C9" t="s">
        <v>49</v>
      </c>
      <c r="D9">
        <v>60</v>
      </c>
      <c r="E9" t="s">
        <v>70</v>
      </c>
      <c r="F9" s="3">
        <v>46177</v>
      </c>
      <c r="G9">
        <f t="shared" si="0"/>
        <v>20260604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150169-1A2F-436D-8529-5FA251FE0C56}">
  <sheetPr codeName="Sheet17"/>
  <dimension ref="A1:G25"/>
  <sheetViews>
    <sheetView workbookViewId="0">
      <selection activeCell="H15" sqref="H15"/>
    </sheetView>
  </sheetViews>
  <sheetFormatPr defaultRowHeight="14.4" x14ac:dyDescent="0.55000000000000004"/>
  <cols>
    <col min="1" max="1" width="11.578125" bestFit="1" customWidth="1"/>
    <col min="2" max="2" width="16.3125" bestFit="1" customWidth="1"/>
    <col min="3" max="3" width="16.47265625" bestFit="1" customWidth="1"/>
    <col min="4" max="4" width="9.15625" bestFit="1" customWidth="1"/>
    <col min="5" max="5" width="10.15625" bestFit="1" customWidth="1"/>
    <col min="6" max="6" width="15.89453125" bestFit="1" customWidth="1"/>
    <col min="7" max="7" width="13.68359375" bestFit="1" customWidth="1"/>
  </cols>
  <sheetData>
    <row r="1" spans="1:7" x14ac:dyDescent="0.55000000000000004">
      <c r="A1" t="s">
        <v>63</v>
      </c>
      <c r="B1" t="s">
        <v>65</v>
      </c>
      <c r="C1" t="s">
        <v>67</v>
      </c>
      <c r="D1" t="s">
        <v>13</v>
      </c>
      <c r="E1" t="s">
        <v>68</v>
      </c>
      <c r="F1" t="s">
        <v>71</v>
      </c>
      <c r="G1" t="s">
        <v>73</v>
      </c>
    </row>
    <row r="2" spans="1:7" x14ac:dyDescent="0.55000000000000004">
      <c r="A2">
        <v>1001</v>
      </c>
      <c r="B2" t="s">
        <v>74</v>
      </c>
      <c r="C2" t="s">
        <v>49</v>
      </c>
      <c r="D2">
        <v>100</v>
      </c>
      <c r="E2" t="s">
        <v>70</v>
      </c>
      <c r="F2" s="3">
        <v>46085</v>
      </c>
      <c r="G2">
        <f t="shared" ref="G2:G25" si="0">20260304</f>
        <v>20260304</v>
      </c>
    </row>
    <row r="3" spans="1:7" x14ac:dyDescent="0.55000000000000004">
      <c r="A3">
        <v>1001</v>
      </c>
      <c r="B3" t="s">
        <v>74</v>
      </c>
      <c r="C3" t="s">
        <v>49</v>
      </c>
      <c r="D3">
        <v>50</v>
      </c>
      <c r="E3" t="s">
        <v>70</v>
      </c>
      <c r="F3" s="3">
        <v>46085</v>
      </c>
      <c r="G3">
        <f t="shared" si="0"/>
        <v>20260304</v>
      </c>
    </row>
    <row r="4" spans="1:7" x14ac:dyDescent="0.55000000000000004">
      <c r="A4">
        <v>1002</v>
      </c>
      <c r="B4" t="s">
        <v>75</v>
      </c>
      <c r="C4" t="s">
        <v>49</v>
      </c>
      <c r="D4">
        <v>150.5</v>
      </c>
      <c r="E4" t="s">
        <v>70</v>
      </c>
      <c r="F4" s="3">
        <v>46085</v>
      </c>
      <c r="G4">
        <f t="shared" si="0"/>
        <v>20260304</v>
      </c>
    </row>
    <row r="5" spans="1:7" x14ac:dyDescent="0.55000000000000004">
      <c r="A5">
        <v>1002</v>
      </c>
      <c r="B5" t="s">
        <v>75</v>
      </c>
      <c r="C5" t="s">
        <v>49</v>
      </c>
      <c r="D5">
        <v>75</v>
      </c>
      <c r="E5" t="s">
        <v>70</v>
      </c>
      <c r="F5" s="3">
        <v>46085</v>
      </c>
      <c r="G5">
        <f t="shared" si="0"/>
        <v>20260304</v>
      </c>
    </row>
    <row r="6" spans="1:7" x14ac:dyDescent="0.55000000000000004">
      <c r="A6">
        <v>1003</v>
      </c>
      <c r="B6" t="s">
        <v>76</v>
      </c>
      <c r="C6" t="s">
        <v>50</v>
      </c>
      <c r="D6">
        <v>3000</v>
      </c>
      <c r="E6" t="s">
        <v>70</v>
      </c>
      <c r="F6" s="3">
        <v>46085</v>
      </c>
      <c r="G6">
        <f t="shared" si="0"/>
        <v>20260304</v>
      </c>
    </row>
    <row r="7" spans="1:7" x14ac:dyDescent="0.55000000000000004">
      <c r="A7">
        <v>1003</v>
      </c>
      <c r="B7" t="s">
        <v>76</v>
      </c>
      <c r="C7" t="s">
        <v>50</v>
      </c>
      <c r="D7">
        <v>2000</v>
      </c>
      <c r="E7" t="s">
        <v>70</v>
      </c>
      <c r="F7" s="3">
        <v>46085</v>
      </c>
      <c r="G7">
        <f t="shared" si="0"/>
        <v>20260304</v>
      </c>
    </row>
    <row r="8" spans="1:7" x14ac:dyDescent="0.55000000000000004">
      <c r="A8">
        <v>1005</v>
      </c>
      <c r="B8" t="s">
        <v>78</v>
      </c>
      <c r="C8" t="s">
        <v>48</v>
      </c>
      <c r="D8">
        <v>30</v>
      </c>
      <c r="E8" t="s">
        <v>70</v>
      </c>
      <c r="F8" s="3">
        <v>46085</v>
      </c>
      <c r="G8">
        <f t="shared" si="0"/>
        <v>20260304</v>
      </c>
    </row>
    <row r="9" spans="1:7" x14ac:dyDescent="0.55000000000000004">
      <c r="A9">
        <v>1005</v>
      </c>
      <c r="B9" t="s">
        <v>78</v>
      </c>
      <c r="C9" t="s">
        <v>48</v>
      </c>
      <c r="D9">
        <v>20</v>
      </c>
      <c r="E9" t="s">
        <v>70</v>
      </c>
      <c r="F9" s="3">
        <v>46085</v>
      </c>
      <c r="G9">
        <f t="shared" si="0"/>
        <v>20260304</v>
      </c>
    </row>
    <row r="10" spans="1:7" x14ac:dyDescent="0.55000000000000004">
      <c r="A10">
        <v>1006</v>
      </c>
      <c r="B10" t="s">
        <v>79</v>
      </c>
      <c r="C10" t="s">
        <v>49</v>
      </c>
      <c r="D10">
        <v>200</v>
      </c>
      <c r="E10" t="s">
        <v>70</v>
      </c>
      <c r="F10" s="3">
        <v>46085</v>
      </c>
      <c r="G10">
        <f t="shared" si="0"/>
        <v>20260304</v>
      </c>
    </row>
    <row r="11" spans="1:7" x14ac:dyDescent="0.55000000000000004">
      <c r="A11">
        <v>1006</v>
      </c>
      <c r="B11" t="s">
        <v>79</v>
      </c>
      <c r="C11" t="s">
        <v>49</v>
      </c>
      <c r="D11">
        <v>100</v>
      </c>
      <c r="E11" t="s">
        <v>70</v>
      </c>
      <c r="F11" s="3">
        <v>46085</v>
      </c>
      <c r="G11">
        <f t="shared" si="0"/>
        <v>20260304</v>
      </c>
    </row>
    <row r="12" spans="1:7" x14ac:dyDescent="0.55000000000000004">
      <c r="A12">
        <v>1008</v>
      </c>
      <c r="B12" t="s">
        <v>81</v>
      </c>
      <c r="C12" t="s">
        <v>50</v>
      </c>
      <c r="D12">
        <v>7000</v>
      </c>
      <c r="E12" t="s">
        <v>70</v>
      </c>
      <c r="F12" s="3">
        <v>46085</v>
      </c>
      <c r="G12">
        <f t="shared" si="0"/>
        <v>20260304</v>
      </c>
    </row>
    <row r="13" spans="1:7" x14ac:dyDescent="0.55000000000000004">
      <c r="A13">
        <v>1008</v>
      </c>
      <c r="B13" t="s">
        <v>81</v>
      </c>
      <c r="C13" t="s">
        <v>50</v>
      </c>
      <c r="D13">
        <v>3000</v>
      </c>
      <c r="E13" t="s">
        <v>70</v>
      </c>
      <c r="F13" s="3">
        <v>46085</v>
      </c>
      <c r="G13">
        <f t="shared" si="0"/>
        <v>20260304</v>
      </c>
    </row>
    <row r="14" spans="1:7" x14ac:dyDescent="0.55000000000000004">
      <c r="A14">
        <v>1010</v>
      </c>
      <c r="B14" t="s">
        <v>82</v>
      </c>
      <c r="C14" t="s">
        <v>49</v>
      </c>
      <c r="D14">
        <v>150</v>
      </c>
      <c r="E14" t="s">
        <v>70</v>
      </c>
      <c r="F14" s="3">
        <v>46085</v>
      </c>
      <c r="G14">
        <f t="shared" si="0"/>
        <v>20260304</v>
      </c>
    </row>
    <row r="15" spans="1:7" x14ac:dyDescent="0.55000000000000004">
      <c r="A15">
        <v>1010</v>
      </c>
      <c r="B15" t="s">
        <v>82</v>
      </c>
      <c r="C15" t="s">
        <v>49</v>
      </c>
      <c r="D15">
        <v>60</v>
      </c>
      <c r="E15" t="s">
        <v>70</v>
      </c>
      <c r="F15" s="3">
        <v>46085</v>
      </c>
      <c r="G15">
        <f t="shared" si="0"/>
        <v>20260304</v>
      </c>
    </row>
    <row r="16" spans="1:7" x14ac:dyDescent="0.55000000000000004">
      <c r="A16">
        <v>1012</v>
      </c>
      <c r="B16" t="s">
        <v>84</v>
      </c>
      <c r="C16" t="s">
        <v>48</v>
      </c>
      <c r="D16">
        <v>45</v>
      </c>
      <c r="E16" t="s">
        <v>70</v>
      </c>
      <c r="F16" s="3">
        <v>46085</v>
      </c>
      <c r="G16">
        <f t="shared" si="0"/>
        <v>20260304</v>
      </c>
    </row>
    <row r="17" spans="1:7" x14ac:dyDescent="0.55000000000000004">
      <c r="A17">
        <v>1012</v>
      </c>
      <c r="B17" t="s">
        <v>84</v>
      </c>
      <c r="C17" t="s">
        <v>48</v>
      </c>
      <c r="D17">
        <v>30</v>
      </c>
      <c r="E17" t="s">
        <v>70</v>
      </c>
      <c r="F17" s="3">
        <v>46085</v>
      </c>
      <c r="G17">
        <f t="shared" si="0"/>
        <v>20260304</v>
      </c>
    </row>
    <row r="18" spans="1:7" x14ac:dyDescent="0.55000000000000004">
      <c r="A18">
        <v>1014</v>
      </c>
      <c r="C18" t="s">
        <v>49</v>
      </c>
      <c r="D18">
        <v>0.01</v>
      </c>
      <c r="E18" t="s">
        <v>70</v>
      </c>
      <c r="F18" s="3">
        <v>46085</v>
      </c>
      <c r="G18">
        <f t="shared" si="0"/>
        <v>20260304</v>
      </c>
    </row>
    <row r="19" spans="1:7" x14ac:dyDescent="0.55000000000000004">
      <c r="A19">
        <v>1014</v>
      </c>
      <c r="C19" t="s">
        <v>49</v>
      </c>
      <c r="D19">
        <v>0.02</v>
      </c>
      <c r="E19" t="s">
        <v>70</v>
      </c>
      <c r="F19" s="3">
        <v>46085</v>
      </c>
      <c r="G19">
        <f t="shared" si="0"/>
        <v>20260304</v>
      </c>
    </row>
    <row r="20" spans="1:7" x14ac:dyDescent="0.55000000000000004">
      <c r="A20">
        <v>1015</v>
      </c>
      <c r="C20" t="s">
        <v>49</v>
      </c>
      <c r="D20">
        <v>-0.01</v>
      </c>
      <c r="E20" t="s">
        <v>70</v>
      </c>
      <c r="F20" s="3">
        <v>46085</v>
      </c>
      <c r="G20">
        <f t="shared" si="0"/>
        <v>20260304</v>
      </c>
    </row>
    <row r="21" spans="1:7" x14ac:dyDescent="0.55000000000000004">
      <c r="A21">
        <v>1015</v>
      </c>
      <c r="C21" t="s">
        <v>49</v>
      </c>
      <c r="D21">
        <v>-0.02</v>
      </c>
      <c r="E21" t="s">
        <v>70</v>
      </c>
      <c r="F21" s="3">
        <v>46085</v>
      </c>
      <c r="G21">
        <f t="shared" si="0"/>
        <v>20260304</v>
      </c>
    </row>
    <row r="22" spans="1:7" x14ac:dyDescent="0.55000000000000004">
      <c r="A22">
        <v>1016</v>
      </c>
      <c r="C22" t="s">
        <v>49</v>
      </c>
      <c r="D22">
        <v>0.03</v>
      </c>
      <c r="E22" t="s">
        <v>70</v>
      </c>
      <c r="F22" s="3">
        <v>46085</v>
      </c>
      <c r="G22">
        <f t="shared" si="0"/>
        <v>20260304</v>
      </c>
    </row>
    <row r="23" spans="1:7" x14ac:dyDescent="0.55000000000000004">
      <c r="A23">
        <v>1016</v>
      </c>
      <c r="C23" t="s">
        <v>49</v>
      </c>
      <c r="D23">
        <v>-0.01</v>
      </c>
      <c r="E23" t="s">
        <v>70</v>
      </c>
      <c r="F23" s="3">
        <v>46085</v>
      </c>
      <c r="G23">
        <f t="shared" si="0"/>
        <v>20260304</v>
      </c>
    </row>
    <row r="24" spans="1:7" x14ac:dyDescent="0.55000000000000004">
      <c r="A24">
        <v>1017</v>
      </c>
      <c r="C24" t="s">
        <v>49</v>
      </c>
      <c r="D24">
        <v>0.01</v>
      </c>
      <c r="E24" t="s">
        <v>70</v>
      </c>
      <c r="F24" s="3">
        <v>46085</v>
      </c>
      <c r="G24">
        <f t="shared" si="0"/>
        <v>20260304</v>
      </c>
    </row>
    <row r="25" spans="1:7" x14ac:dyDescent="0.55000000000000004">
      <c r="A25">
        <v>1017</v>
      </c>
      <c r="C25" t="s">
        <v>49</v>
      </c>
      <c r="D25">
        <v>-0.03</v>
      </c>
      <c r="E25" t="s">
        <v>70</v>
      </c>
      <c r="F25" s="3">
        <v>46085</v>
      </c>
      <c r="G25">
        <f t="shared" si="0"/>
        <v>20260304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2FF8D2F-E88A-4B71-B293-39D4FFEDD5B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ConfigReference</vt:lpstr>
      <vt:lpstr>Backlog</vt:lpstr>
      <vt:lpstr>Workflows</vt:lpstr>
      <vt:lpstr>Load Config</vt:lpstr>
      <vt:lpstr>Recon Config</vt:lpstr>
      <vt:lpstr>Transform Config</vt:lpstr>
      <vt:lpstr>Recon Config - Summary</vt:lpstr>
      <vt:lpstr>Sheet1</vt:lpstr>
      <vt:lpstr>Sheet2</vt:lpstr>
      <vt:lpstr>Activity Log</vt:lpstr>
      <vt:lpstr>Fee All Results</vt:lpstr>
      <vt:lpstr>Fee Error Results</vt:lpstr>
      <vt:lpstr>Fee 2 All Results</vt:lpstr>
      <vt:lpstr>Fee 2 Match Results</vt:lpstr>
      <vt:lpstr>Fee 2 Error Results</vt:lpstr>
      <vt:lpstr>Fee Match Results</vt:lpstr>
      <vt:lpstr>Fee 2 Upload Ready</vt:lpstr>
      <vt:lpstr>Fee Upload Ready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Watt</dc:creator>
  <cp:lastModifiedBy>John Watt</cp:lastModifiedBy>
  <dcterms:created xsi:type="dcterms:W3CDTF">2026-02-12T00:06:16Z</dcterms:created>
  <dcterms:modified xsi:type="dcterms:W3CDTF">2026-08-02T18:48:58Z</dcterms:modified>
</cp:coreProperties>
</file>