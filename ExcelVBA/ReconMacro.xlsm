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0417" documentId="8_{02591AEE-AA27-4992-A490-F4BCF6A95374}" xr6:coauthVersionLast="47" xr6:coauthVersionMax="47" xr10:uidLastSave="{85B723CC-9120-4575-B811-63E11B14C3C6}"/>
  <bookViews>
    <workbookView xWindow="-96" yWindow="-96" windowWidth="23232" windowHeight="13872" tabRatio="901" activeTab="10" xr2:uid="{713D0E20-2510-4F46-8450-E6CC1A43B8CC}"/>
  </bookViews>
  <sheets>
    <sheet name="Backlog" sheetId="11" r:id="rId1"/>
    <sheet name="Workflows" sheetId="12" r:id="rId2"/>
    <sheet name="Recon Config Settings" sheetId="19" r:id="rId3"/>
    <sheet name="Recon Config" sheetId="1" r:id="rId4"/>
    <sheet name="Recon Config - Summary" sheetId="13" state="hidden" r:id="rId5"/>
    <sheet name="Transform Config" sheetId="8" r:id="rId6"/>
    <sheet name="Sheet1" sheetId="3" r:id="rId7"/>
    <sheet name="Sheet2" sheetId="2" r:id="rId8"/>
    <sheet name="All Results" sheetId="4" r:id="rId9"/>
    <sheet name="Match Results" sheetId="5" r:id="rId10"/>
    <sheet name="Error Results" sheetId="6" r:id="rId11"/>
    <sheet name="Export" sheetId="9" r:id="rId12"/>
    <sheet name="Summary Export" sheetId="15" r:id="rId13"/>
    <sheet name="Activity Log" sheetId="18" r:id="rId14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  <c r="E5" i="9"/>
  <c r="I2" i="15"/>
</calcChain>
</file>

<file path=xl/sharedStrings.xml><?xml version="1.0" encoding="utf-8"?>
<sst xmlns="http://schemas.openxmlformats.org/spreadsheetml/2006/main" count="815" uniqueCount="126">
  <si>
    <t>ID</t>
  </si>
  <si>
    <t>Value</t>
  </si>
  <si>
    <t>Setting</t>
  </si>
  <si>
    <t>Sheet1 Total</t>
  </si>
  <si>
    <t>Sheet2 Total</t>
  </si>
  <si>
    <t>Difference</t>
  </si>
  <si>
    <t>IsMatch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</si>
  <si>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</si>
  <si>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</si>
  <si>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</si>
  <si>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</si>
  <si>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</si>
  <si>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</si>
  <si>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</si>
  <si>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</si>
  <si>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</si>
  <si>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</si>
  <si>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</si>
  <si>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</si>
  <si>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</si>
  <si>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</si>
  <si>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</si>
  <si>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</si>
  <si>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</si>
  <si>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</si>
  <si>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Tolerance</t>
  </si>
  <si>
    <t>ParentID</t>
  </si>
  <si>
    <t>Column1</t>
  </si>
  <si>
    <t>Sort Order</t>
  </si>
  <si>
    <t>ParentID,ID</t>
  </si>
  <si>
    <t>Logging</t>
  </si>
  <si>
    <t>Create new sheets</t>
  </si>
  <si>
    <t>workflows - ability to create multiple configs for summary and detail, summary-summary, create new export or use existing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</si>
  <si>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</si>
  <si>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</si>
  <si>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</si>
  <si>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</si>
  <si>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</si>
  <si>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</si>
  <si>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Region</t>
  </si>
  <si>
    <t>Department</t>
  </si>
  <si>
    <t>AccountCode</t>
  </si>
  <si>
    <t>Status</t>
  </si>
  <si>
    <t>East</t>
  </si>
  <si>
    <t>Sales</t>
  </si>
  <si>
    <t>West</t>
  </si>
  <si>
    <t>Marketing</t>
  </si>
  <si>
    <t>North</t>
  </si>
  <si>
    <t>Operations</t>
  </si>
  <si>
    <t>South</t>
  </si>
  <si>
    <t>Finance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</si>
  <si>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</si>
  <si>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</si>
  <si>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</si>
  <si>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</si>
  <si>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</si>
  <si>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</si>
  <si>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</si>
  <si>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</si>
  <si>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</si>
  <si>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</si>
  <si>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</si>
  <si>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</si>
  <si>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</si>
  <si>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</si>
  <si>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</si>
  <si>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</si>
  <si>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</si>
  <si>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Enabled</t>
  </si>
  <si>
    <t>Notes</t>
  </si>
  <si>
    <t>GL Monthly</t>
  </si>
  <si>
    <t>GL monthly reconciliation</t>
  </si>
  <si>
    <t>GL Daily</t>
  </si>
  <si>
    <t>GL daily reconciliation</t>
  </si>
  <si>
    <t>Trade Journal Monthly</t>
  </si>
  <si>
    <t>Trade journal monthly recon</t>
  </si>
  <si>
    <t>Trade Journal Daily</t>
  </si>
  <si>
    <t>Trade journal daily recon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</si>
  <si>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</si>
  <si>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</si>
  <si>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</si>
  <si>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</si>
  <si>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</si>
  <si>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</si>
  <si>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</si>
  <si>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</si>
  <si>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</si>
  <si>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</si>
  <si>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</si>
  <si>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</si>
  <si>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</si>
  <si>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</si>
  <si>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</si>
  <si>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</si>
  <si>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Required</t>
  </si>
  <si>
    <t>Yes</t>
  </si>
  <si>
    <t>Sheet1 Additional Columns</t>
  </si>
  <si>
    <t>Sheet2 Additional Columns</t>
  </si>
  <si>
    <t>Notes/Example</t>
  </si>
  <si>
    <t>TradeID</t>
  </si>
  <si>
    <t>Optional</t>
  </si>
  <si>
    <t>For validation of filter</t>
  </si>
  <si>
    <t>Description,LineType</t>
  </si>
  <si>
    <t>Default is 0.01</t>
  </si>
  <si>
    <t>SHEET2</t>
  </si>
  <si>
    <t>Must be SHEET2 for this scenario</t>
  </si>
  <si>
    <t>Only include summary rows with Amount not zero</t>
  </si>
  <si>
    <t>Description="Fee"</t>
  </si>
  <si>
    <t>Only include detail rows with Description = Fee</t>
  </si>
  <si>
    <t>File: TestData_Summary.csv | Target: Sheet1</t>
  </si>
  <si>
    <t>Principal</t>
  </si>
  <si>
    <t>Adjustment</t>
  </si>
  <si>
    <t>Interest</t>
  </si>
  <si>
    <t>Fee</t>
  </si>
  <si>
    <t>File: TestData_Detail.csv | Target: Sheet2</t>
  </si>
  <si>
    <t>Config: Recon Config | Matches: 2 | Errors: 2 | Tolerance: 0.01 | Detail Mode: SHEET2</t>
  </si>
  <si>
    <t>Correction</t>
  </si>
  <si>
    <t>Config: Recon Config | Matches: 7 | Errors: 1 | Tolerance: 0.01 | Detail Mode: SHEET2</t>
  </si>
  <si>
    <t>Description,Amount</t>
  </si>
  <si>
    <t>Category</t>
  </si>
  <si>
    <t>Loan</t>
  </si>
  <si>
    <t>Service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</si>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</sst>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64" fontId="0" fillId="2" borderId="0" xfId="0" applyNumberFormat="1" applyFont="1" applyFill="1"/>
    <xf numFmtId="0" fontId="0" fillId="2" borderId="0" xfId="0" applyFont="1" applyFill="1"/>
    <xf numFmtId="0" fontId="0" fillId="3" borderId="0" xfId="0" applyFill="1"/>
    <xf numFmtId="4" fontId="0" fillId="3" borderId="0" xfId="0" applyNumberFormat="1" applyFill="1"/>
  </cellXfs>
  <cellStyles count="1">
    <cellStyle name="Normal" xfId="0" builtinId="0"/>
  </cellStyles>
  <dxfs count="28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</xdr:colOff>
          <xdr:row>0</xdr:row>
          <xdr:rowOff>160020</xdr:rowOff>
        </xdr:from>
        <xdr:to>
          <xdr:col>6</xdr:col>
          <xdr:colOff>575310</xdr:colOff>
          <xdr:row>3</xdr:row>
          <xdr:rowOff>156210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D5" totalsRowShown="0">
  <autoFilter ref="A1:D5" xr:uid="{0D5CB000-ED62-441A-9753-2EEACC34621D}"/>
  <tableColumns count="4">
    <tableColumn id="1" xr3:uid="{2CD75CB4-B4FB-4F00-8D16-88E466813EF2}" name="WorkflowName"/>
    <tableColumn id="2" xr3:uid="{DFC0575D-9665-46D4-943F-EE74D7E1328F}" name="Description"/>
    <tableColumn id="3" xr3:uid="{E914D421-5DC5-454A-B55B-A8B625E1830A}" name="Enabled"/>
    <tableColumn id="4" xr3:uid="{957FEC6B-8EE8-40F6-9263-A6868FD910F9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4C4A000-09EB-481F-BCE4-40AFBA589962}" name="Table32" displayName="Table32" ref="A1:D12" totalsRowShown="0">
  <autoFilter ref="A1:D12" xr:uid="{04C4A000-09EB-481F-BCE4-40AFBA589962}"/>
  <tableColumns count="4">
    <tableColumn id="1" xr3:uid="{E8B6169D-7AA4-4176-9280-C48348CD5839}" name="Setting"/>
    <tableColumn id="2" xr3:uid="{1C27739C-6B35-4B45-A5FF-38445AECAE74}" name="Value"/>
    <tableColumn id="3" xr3:uid="{EBDBD854-15F3-4C99-9ACC-B8D2DE360A2E}" name="Required"/>
    <tableColumn id="4" xr3:uid="{5B6E6696-DED1-4182-85B1-93F1900D1D56}" name="Notes/Examp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6" totalsRowShown="0">
  <autoFilter ref="A1:C36" xr:uid="{E30DB9FC-46B6-4658-AFB8-DF25777769FF}"/>
  <tableColumns count="3">
    <tableColumn id="1" xr3:uid="{5FAC4FBB-B6AC-44D5-B30C-907DDFB769B8}" name="WorkflowName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43C6805-7EA2-4795-AFE7-0A21E8207B14}" name="ReconResultsTable" displayName="ReconResultsTable" ref="A1:F8" totalsRowShown="0" headerRowDxfId="13" dataDxfId="14">
  <autoFilter ref="A1:F8" xr:uid="{F43C6805-7EA2-4795-AFE7-0A21E8207B14}"/>
  <tableColumns count="6">
    <tableColumn id="1" xr3:uid="{58F1B0CD-02F2-469F-836B-72E7F3B0CA83}" name="IsMatch" dataDxfId="20"/>
    <tableColumn id="2" xr3:uid="{51940078-01EC-4B38-88A2-5E1CA7C3C70F}" name="Difference" dataDxfId="19"/>
    <tableColumn id="3" xr3:uid="{C16C109F-5553-4A16-A22C-0A79D4439CC5}" name="ID" dataDxfId="18"/>
    <tableColumn id="4" xr3:uid="{E2C1C0B9-9D66-470E-8FE4-4A867BBCF8DE}" name="Sheet1 Total" dataDxfId="17"/>
    <tableColumn id="5" xr3:uid="{44EF0932-9F57-4365-A62B-F037451AACA4}" name="Sheet2 Total" dataDxfId="16"/>
    <tableColumn id="6" xr3:uid="{5EB0154D-FAB5-45A6-A4E9-8359A663D1C4}" name="Category" dataDxfId="1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AFE5E2B4-195A-41FE-A204-D551450CDD25}" name="MatchResultsTable" displayName="MatchResultsTable" ref="A1:F5" totalsRowShown="0" headerRowDxfId="12">
  <autoFilter ref="A1:F5" xr:uid="{AFE5E2B4-195A-41FE-A204-D551450CDD25}"/>
  <tableColumns count="6">
    <tableColumn id="1" xr3:uid="{686745FE-F277-4970-A4FC-46A959A5E787}" name="ID"/>
    <tableColumn id="2" xr3:uid="{A1F30874-03F4-421B-A16E-4D21115596F0}" name="Description"/>
    <tableColumn id="3" xr3:uid="{D4BEDA06-633E-412E-8FED-0BBDAACA52D8}" name="Amount"/>
    <tableColumn id="4" xr3:uid="{13418EFD-A132-4637-9BB9-BDDBD51EC973}" name="Sheet1 Total" dataDxfId="11"/>
    <tableColumn id="5" xr3:uid="{A523338C-A31E-4A99-A046-9B1BA5CF9CD7}" name="Sheet2 Total" dataDxfId="10"/>
    <tableColumn id="6" xr3:uid="{3BBE81E7-1073-45D5-BC44-72DC15CC2025}" name="Category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37B8F4E7-4DFB-42F8-87A7-ABB412FED0BF}" name="ErrorResultsTable" displayName="ErrorResultsTable" ref="A1:E4" totalsRowShown="0" headerRowDxfId="8" dataDxfId="9">
  <autoFilter ref="A1:E4" xr:uid="{37B8F4E7-4DFB-42F8-87A7-ABB412FED0BF}"/>
  <tableColumns count="5">
    <tableColumn id="1" xr3:uid="{A3494BCD-0A5D-4D56-B704-3969608461FD}" name="Difference" dataDxfId="7"/>
    <tableColumn id="2" xr3:uid="{05A9F4AC-F351-4B82-B254-E53B393C9227}" name="ID" dataDxfId="6"/>
    <tableColumn id="3" xr3:uid="{E0404D0B-9F3D-4096-9795-5162AE95B4CD}" name="Sheet1 Total" dataDxfId="5"/>
    <tableColumn id="4" xr3:uid="{F555A97E-23DD-4AE1-A66D-EDDDBBA87619}" name="Sheet2 Total" dataDxfId="3"/>
    <tableColumn id="5" xr3:uid="{F08B99BA-CA7B-452E-B77F-F777B6C2A14B}" name="Category" dataDxfId="4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8619D9DA-8220-4622-8FA8-400C9759E4C0}" name="Table79" displayName="Table79" ref="A1:E5" totalsRowShown="0">
  <autoFilter ref="A1:E5" xr:uid="{8619D9DA-8220-4622-8FA8-400C9759E4C0}"/>
  <tableColumns count="5">
    <tableColumn id="1" xr3:uid="{5DA13635-37BD-47F1-8A50-05C19C3824A6}" name="ParentID"/>
    <tableColumn id="2" xr3:uid="{50428DAE-7D87-49E7-B1AC-C0A83820C7AE}" name="ID"/>
    <tableColumn id="3" xr3:uid="{C6661186-702F-42A9-A8FB-6DA8F132E0EB}" name="Amount"/>
    <tableColumn id="4" xr3:uid="{63ED68B1-9C5A-422E-9DDD-F3FDCAE94EBA}" name="Description"/>
    <tableColumn id="5" xr3:uid="{E77D3997-1A90-43EC-955D-2D725CAC8C50}" name="Priority" dataDxfId="2">
      <calculatedColumnFormula>IF(Table79[[#This Row],[Amount]]&gt;100,"HIGH","LOW")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3398F9-ED62-423D-9A8F-53C0ED0C88B9}" name="Table20" displayName="Table20" ref="A1:H6" totalsRowShown="0">
  <autoFilter ref="A1:H6" xr:uid="{7D3398F9-ED62-423D-9A8F-53C0ED0C88B9}"/>
  <tableColumns count="8">
    <tableColumn id="1" xr3:uid="{00A6A18B-2327-4D1E-B7C8-6303AAB3B1D2}" name="Column1"/>
    <tableColumn id="2" xr3:uid="{3F4F4538-497D-4CBF-98CF-226BA5BF7E2D}" name="Region"/>
    <tableColumn id="3" xr3:uid="{48E6F9BF-FB82-473F-AC0F-0FDEDEFD8233}" name="Department"/>
    <tableColumn id="4" xr3:uid="{4E0E57B4-BE4F-44F9-B6AA-870D2054E37F}" name="AccountCode"/>
    <tableColumn id="5" xr3:uid="{1E2A7BD2-73CC-4C8F-AD71-AC9DE04D7BA0}" name="Source"/>
    <tableColumn id="6" xr3:uid="{178CF135-2802-4AD6-BACC-FAE533E04234}" name="Sheet1 Total"/>
    <tableColumn id="7" xr3:uid="{3E216DBC-96EE-4953-BEC2-9795935D578D}" name="Sheet2 Total"/>
    <tableColumn id="8" xr3:uid="{5D0C887C-F07C-4075-9FD0-36EB5BD8656D}" name="Dif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01" totalsRowShown="0" headerRowDxfId="27" dataDxfId="26">
  <autoFilter ref="A1:G101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5"/>
    <tableColumn id="4" xr3:uid="{D5CE1952-DF24-4666-B97F-4075EE416DB3}" name="Details" dataDxfId="24"/>
    <tableColumn id="5" xr3:uid="{543A8991-CDDC-4C9E-B81B-17ECAEB28DFE}" name="Status" dataDxfId="23"/>
    <tableColumn id="6" xr3:uid="{CF2B62BD-8429-4C59-A817-109A9F6D4BBB}" name="Records" dataDxfId="22"/>
    <tableColumn id="7" xr3:uid="{3F5609B9-709E-4A2A-8885-1708EF552567}" name="User" dataDxf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4"/>
  <sheetViews>
    <sheetView workbookViewId="0"/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30</v>
      </c>
    </row>
    <row r="2" spans="1:1" x14ac:dyDescent="0.55000000000000004">
      <c r="A2" t="s">
        <v>31</v>
      </c>
    </row>
    <row r="3" spans="1:1" x14ac:dyDescent="0.55000000000000004">
      <c r="A3" t="s">
        <v>32</v>
      </c>
    </row>
    <row r="4" spans="1:1" x14ac:dyDescent="0.55000000000000004">
      <c r="A4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D5"/>
  <sheetViews>
    <sheetView workbookViewId="0">
      <selection activeCell="C14" sqref="C14"/>
    </sheetView>
  </sheetViews>
  <sheetFormatPr defaultRowHeight="14.4" x14ac:dyDescent="0.55000000000000004"/>
  <cols>
    <col min="1" max="1" width="18.05078125" bestFit="1" customWidth="1"/>
    <col min="2" max="2" width="24.3671875" bestFit="1" customWidth="1"/>
    <col min="3" max="3" width="22.7890625" bestFit="1" customWidth="1"/>
    <col min="4" max="4" width="19.68359375" bestFit="1" customWidth="1"/>
  </cols>
  <sheetData>
    <row r="1" spans="1:4" x14ac:dyDescent="0.55000000000000004">
      <c r="A1" t="s">
        <v>67</v>
      </c>
      <c r="B1" t="s">
        <v>22</v>
      </c>
      <c r="C1" t="s">
        <v>68</v>
      </c>
      <c r="D1" t="s">
        <v>69</v>
      </c>
    </row>
    <row r="2" spans="1:4" x14ac:dyDescent="0.55000000000000004">
      <c r="A2" t="s">
        <v>70</v>
      </c>
      <c r="B2" t="s">
        <v>71</v>
      </c>
      <c r="C2" t="b">
        <v>1</v>
      </c>
    </row>
    <row r="3" spans="1:4" x14ac:dyDescent="0.55000000000000004">
      <c r="A3" t="s">
        <v>72</v>
      </c>
      <c r="B3" t="s">
        <v>73</v>
      </c>
      <c r="C3" t="b">
        <v>1</v>
      </c>
    </row>
    <row r="4" spans="1:4" x14ac:dyDescent="0.55000000000000004">
      <c r="A4" t="s">
        <v>74</v>
      </c>
      <c r="B4" t="s">
        <v>75</v>
      </c>
      <c r="C4" t="b">
        <v>1</v>
      </c>
    </row>
    <row r="5" spans="1:4" x14ac:dyDescent="0.55000000000000004">
      <c r="A5" t="s">
        <v>76</v>
      </c>
      <c r="B5" t="s">
        <v>77</v>
      </c>
      <c r="C5" t="b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5</xdr:col>
                    <xdr:colOff>26670</xdr:colOff>
                    <xdr:row>0</xdr:row>
                    <xdr:rowOff>160020</xdr:rowOff>
                  </from>
                  <to>
                    <xdr:col>6</xdr:col>
                    <xdr:colOff>575310</xdr:colOff>
                    <xdr:row>3</xdr:row>
                    <xdr:rowOff>156210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221C-2B4F-4F80-97A7-393DA10EF865}">
  <sheetPr codeName="Sheet14"/>
  <dimension ref="A1:D12"/>
  <sheetViews>
    <sheetView workbookViewId="0">
      <selection sqref="A1:D12"/>
    </sheetView>
  </sheetViews>
  <sheetFormatPr defaultRowHeight="14.4" x14ac:dyDescent="0.55000000000000004"/>
  <cols>
    <col min="1" max="1" width="22" bestFit="1" customWidth="1"/>
    <col min="2" max="2" width="17.1015625" bestFit="1" customWidth="1"/>
    <col min="3" max="3" width="10.20703125" bestFit="1" customWidth="1"/>
    <col min="4" max="4" width="15.7890625" bestFit="1" customWidth="1"/>
  </cols>
  <sheetData>
    <row r="1" spans="1:4" x14ac:dyDescent="0.55000000000000004">
      <c r="A1" t="s">
        <v>2</v>
      </c>
      <c r="B1" t="s">
        <v>1</v>
      </c>
      <c r="C1" t="s">
        <v>94</v>
      </c>
      <c r="D1" t="s">
        <v>98</v>
      </c>
    </row>
    <row r="2" spans="1:4" x14ac:dyDescent="0.55000000000000004">
      <c r="A2" t="s">
        <v>35</v>
      </c>
      <c r="B2" t="s">
        <v>0</v>
      </c>
      <c r="C2" t="s">
        <v>95</v>
      </c>
    </row>
    <row r="3" spans="1:4" x14ac:dyDescent="0.55000000000000004">
      <c r="A3" t="s">
        <v>36</v>
      </c>
      <c r="B3" t="s">
        <v>99</v>
      </c>
      <c r="C3" t="s">
        <v>95</v>
      </c>
    </row>
    <row r="4" spans="1:4" x14ac:dyDescent="0.55000000000000004">
      <c r="A4" t="s">
        <v>37</v>
      </c>
      <c r="B4" t="s">
        <v>16</v>
      </c>
      <c r="C4" t="s">
        <v>95</v>
      </c>
    </row>
    <row r="5" spans="1:4" x14ac:dyDescent="0.55000000000000004">
      <c r="A5" t="s">
        <v>38</v>
      </c>
      <c r="B5" t="s">
        <v>16</v>
      </c>
      <c r="C5" t="s">
        <v>95</v>
      </c>
    </row>
    <row r="6" spans="1:4" x14ac:dyDescent="0.55000000000000004">
      <c r="A6" t="s">
        <v>96</v>
      </c>
      <c r="B6" t="s">
        <v>22</v>
      </c>
      <c r="C6" t="s">
        <v>100</v>
      </c>
      <c r="D6" t="s">
        <v>101</v>
      </c>
    </row>
    <row r="7" spans="1:4" x14ac:dyDescent="0.55000000000000004">
      <c r="A7" t="s">
        <v>97</v>
      </c>
      <c r="B7" t="s">
        <v>102</v>
      </c>
      <c r="C7" t="s">
        <v>100</v>
      </c>
    </row>
    <row r="8" spans="1:4" x14ac:dyDescent="0.55000000000000004">
      <c r="A8" t="s">
        <v>25</v>
      </c>
      <c r="B8">
        <v>0.01</v>
      </c>
      <c r="C8" t="s">
        <v>100</v>
      </c>
      <c r="D8" t="s">
        <v>103</v>
      </c>
    </row>
    <row r="9" spans="1:4" x14ac:dyDescent="0.55000000000000004">
      <c r="A9" t="s">
        <v>85</v>
      </c>
      <c r="B9" t="s">
        <v>104</v>
      </c>
      <c r="C9" t="s">
        <v>95</v>
      </c>
      <c r="D9" t="s">
        <v>105</v>
      </c>
    </row>
    <row r="10" spans="1:4" x14ac:dyDescent="0.55000000000000004">
      <c r="A10" t="s">
        <v>78</v>
      </c>
      <c r="B10" t="s">
        <v>81</v>
      </c>
      <c r="C10" t="s">
        <v>100</v>
      </c>
      <c r="D10" t="s">
        <v>106</v>
      </c>
    </row>
    <row r="11" spans="1:4" x14ac:dyDescent="0.55000000000000004">
      <c r="A11" t="s">
        <v>79</v>
      </c>
      <c r="B11" t="s">
        <v>107</v>
      </c>
      <c r="C11" t="s">
        <v>100</v>
      </c>
      <c r="D11" t="s">
        <v>108</v>
      </c>
    </row>
    <row r="12" spans="1:4" x14ac:dyDescent="0.55000000000000004">
      <c r="A12" t="s">
        <v>28</v>
      </c>
      <c r="B12" t="s">
        <v>99</v>
      </c>
      <c r="C12" t="s">
        <v>100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12"/>
  <sheetViews>
    <sheetView workbookViewId="0">
      <selection activeCell="C13" sqref="C13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67</v>
      </c>
      <c r="B1" t="s">
        <v>2</v>
      </c>
      <c r="C1" t="s">
        <v>1</v>
      </c>
    </row>
    <row r="2" spans="1:3" x14ac:dyDescent="0.55000000000000004">
      <c r="A2" t="s">
        <v>74</v>
      </c>
      <c r="B2" t="s">
        <v>35</v>
      </c>
      <c r="C2" t="s">
        <v>99</v>
      </c>
    </row>
    <row r="3" spans="1:3" x14ac:dyDescent="0.55000000000000004">
      <c r="A3" t="s">
        <v>74</v>
      </c>
      <c r="B3" t="s">
        <v>36</v>
      </c>
      <c r="C3" t="s">
        <v>99</v>
      </c>
    </row>
    <row r="4" spans="1:3" x14ac:dyDescent="0.55000000000000004">
      <c r="A4" t="s">
        <v>74</v>
      </c>
      <c r="B4" t="s">
        <v>37</v>
      </c>
      <c r="C4" t="s">
        <v>16</v>
      </c>
    </row>
    <row r="5" spans="1:3" x14ac:dyDescent="0.55000000000000004">
      <c r="A5" t="s">
        <v>74</v>
      </c>
      <c r="B5" t="s">
        <v>38</v>
      </c>
      <c r="C5" t="s">
        <v>16</v>
      </c>
    </row>
    <row r="6" spans="1:3" x14ac:dyDescent="0.55000000000000004">
      <c r="A6" t="s">
        <v>74</v>
      </c>
      <c r="B6" t="s">
        <v>96</v>
      </c>
      <c r="C6" t="s">
        <v>119</v>
      </c>
    </row>
    <row r="7" spans="1:3" x14ac:dyDescent="0.55000000000000004">
      <c r="A7" t="s">
        <v>74</v>
      </c>
      <c r="B7" t="s">
        <v>97</v>
      </c>
      <c r="C7" t="s">
        <v>118</v>
      </c>
    </row>
    <row r="8" spans="1:3" x14ac:dyDescent="0.55000000000000004">
      <c r="A8" t="s">
        <v>74</v>
      </c>
      <c r="B8" t="s">
        <v>25</v>
      </c>
      <c r="C8">
        <v>0.01</v>
      </c>
    </row>
    <row r="9" spans="1:3" x14ac:dyDescent="0.55000000000000004">
      <c r="A9" t="s">
        <v>74</v>
      </c>
      <c r="B9" t="s">
        <v>85</v>
      </c>
      <c r="C9" t="s">
        <v>86</v>
      </c>
    </row>
    <row r="10" spans="1:3" x14ac:dyDescent="0.55000000000000004">
      <c r="A10" t="s">
        <v>74</v>
      </c>
      <c r="B10" t="s">
        <v>78</v>
      </c>
      <c r="C10" t="s">
        <v>122</v>
      </c>
    </row>
    <row r="11" spans="1:3" x14ac:dyDescent="0.55000000000000004">
      <c r="A11" t="s">
        <v>74</v>
      </c>
      <c r="B11" t="s">
        <v>79</v>
      </c>
    </row>
    <row r="12" spans="1:3" x14ac:dyDescent="0.55000000000000004">
      <c r="A12" t="s">
        <v>74</v>
      </c>
      <c r="B12" t="s">
        <v>28</v>
      </c>
      <c r="C12" t="s">
        <v>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67</v>
      </c>
      <c r="B1" t="s">
        <v>2</v>
      </c>
      <c r="C1" t="s">
        <v>1</v>
      </c>
    </row>
    <row r="2" spans="1:3" x14ac:dyDescent="0.55000000000000004">
      <c r="A2" t="s">
        <v>70</v>
      </c>
      <c r="B2" t="s">
        <v>35</v>
      </c>
      <c r="C2" t="s">
        <v>0</v>
      </c>
    </row>
    <row r="3" spans="1:3" x14ac:dyDescent="0.55000000000000004">
      <c r="A3" t="s">
        <v>70</v>
      </c>
      <c r="B3" t="s">
        <v>36</v>
      </c>
      <c r="C3" t="s">
        <v>0</v>
      </c>
    </row>
    <row r="4" spans="1:3" x14ac:dyDescent="0.55000000000000004">
      <c r="A4" t="s">
        <v>70</v>
      </c>
      <c r="B4" t="s">
        <v>37</v>
      </c>
      <c r="C4" t="s">
        <v>16</v>
      </c>
    </row>
    <row r="5" spans="1:3" x14ac:dyDescent="0.55000000000000004">
      <c r="A5" t="s">
        <v>70</v>
      </c>
      <c r="B5" t="s">
        <v>38</v>
      </c>
      <c r="C5" t="s">
        <v>16</v>
      </c>
    </row>
    <row r="6" spans="1:3" x14ac:dyDescent="0.55000000000000004">
      <c r="A6" t="s">
        <v>70</v>
      </c>
      <c r="B6" t="s">
        <v>78</v>
      </c>
    </row>
    <row r="7" spans="1:3" x14ac:dyDescent="0.55000000000000004">
      <c r="A7" t="s">
        <v>70</v>
      </c>
      <c r="B7" t="s">
        <v>79</v>
      </c>
    </row>
    <row r="8" spans="1:3" x14ac:dyDescent="0.55000000000000004">
      <c r="A8" t="s">
        <v>70</v>
      </c>
      <c r="B8" t="s">
        <v>25</v>
      </c>
      <c r="C8">
        <v>0.03</v>
      </c>
    </row>
    <row r="9" spans="1:3" x14ac:dyDescent="0.55000000000000004">
      <c r="A9" t="s">
        <v>70</v>
      </c>
      <c r="B9" t="s">
        <v>28</v>
      </c>
      <c r="C9" t="s">
        <v>29</v>
      </c>
    </row>
    <row r="10" spans="1:3" x14ac:dyDescent="0.55000000000000004">
      <c r="A10" t="s">
        <v>72</v>
      </c>
      <c r="B10" t="s">
        <v>35</v>
      </c>
      <c r="C10" t="s">
        <v>0</v>
      </c>
    </row>
    <row r="11" spans="1:3" x14ac:dyDescent="0.55000000000000004">
      <c r="A11" t="s">
        <v>72</v>
      </c>
      <c r="B11" t="s">
        <v>36</v>
      </c>
      <c r="C11" t="s">
        <v>0</v>
      </c>
    </row>
    <row r="12" spans="1:3" x14ac:dyDescent="0.55000000000000004">
      <c r="A12" t="s">
        <v>72</v>
      </c>
      <c r="B12" t="s">
        <v>37</v>
      </c>
      <c r="C12" t="s">
        <v>16</v>
      </c>
    </row>
    <row r="13" spans="1:3" x14ac:dyDescent="0.55000000000000004">
      <c r="A13" t="s">
        <v>72</v>
      </c>
      <c r="B13" t="s">
        <v>38</v>
      </c>
      <c r="C13" t="s">
        <v>16</v>
      </c>
    </row>
    <row r="14" spans="1:3" x14ac:dyDescent="0.55000000000000004">
      <c r="A14" t="s">
        <v>72</v>
      </c>
      <c r="B14" t="s">
        <v>78</v>
      </c>
      <c r="C14" t="s">
        <v>81</v>
      </c>
    </row>
    <row r="15" spans="1:3" x14ac:dyDescent="0.55000000000000004">
      <c r="A15" t="s">
        <v>72</v>
      </c>
      <c r="B15" t="s">
        <v>79</v>
      </c>
      <c r="C15" t="s">
        <v>81</v>
      </c>
    </row>
    <row r="16" spans="1:3" x14ac:dyDescent="0.55000000000000004">
      <c r="A16" t="s">
        <v>72</v>
      </c>
      <c r="B16" t="s">
        <v>25</v>
      </c>
      <c r="C16">
        <v>0.03</v>
      </c>
    </row>
    <row r="17" spans="1:3" x14ac:dyDescent="0.55000000000000004">
      <c r="A17" t="s">
        <v>72</v>
      </c>
      <c r="B17" t="s">
        <v>28</v>
      </c>
      <c r="C17" t="s">
        <v>29</v>
      </c>
    </row>
    <row r="18" spans="1:3" x14ac:dyDescent="0.55000000000000004">
      <c r="A18" t="s">
        <v>74</v>
      </c>
      <c r="B18" t="s">
        <v>35</v>
      </c>
      <c r="C18" t="s">
        <v>0</v>
      </c>
    </row>
    <row r="19" spans="1:3" x14ac:dyDescent="0.55000000000000004">
      <c r="A19" t="s">
        <v>74</v>
      </c>
      <c r="B19" t="s">
        <v>36</v>
      </c>
      <c r="C19" t="s">
        <v>0</v>
      </c>
    </row>
    <row r="20" spans="1:3" x14ac:dyDescent="0.55000000000000004">
      <c r="A20" t="s">
        <v>74</v>
      </c>
      <c r="B20" t="s">
        <v>37</v>
      </c>
      <c r="C20" t="s">
        <v>16</v>
      </c>
    </row>
    <row r="21" spans="1:3" x14ac:dyDescent="0.55000000000000004">
      <c r="A21" t="s">
        <v>74</v>
      </c>
      <c r="B21" t="s">
        <v>38</v>
      </c>
      <c r="C21" t="s">
        <v>16</v>
      </c>
    </row>
    <row r="22" spans="1:3" x14ac:dyDescent="0.55000000000000004">
      <c r="A22" t="s">
        <v>74</v>
      </c>
      <c r="B22" t="s">
        <v>78</v>
      </c>
      <c r="C22" t="s">
        <v>122</v>
      </c>
    </row>
    <row r="23" spans="1:3" x14ac:dyDescent="0.55000000000000004">
      <c r="A23" t="s">
        <v>74</v>
      </c>
      <c r="B23" t="s">
        <v>79</v>
      </c>
      <c r="C23" t="s">
        <v>80</v>
      </c>
    </row>
    <row r="24" spans="1:3" x14ac:dyDescent="0.55000000000000004">
      <c r="A24" t="s">
        <v>74</v>
      </c>
      <c r="B24" t="s">
        <v>25</v>
      </c>
      <c r="C24">
        <v>0.03</v>
      </c>
    </row>
    <row r="25" spans="1:3" x14ac:dyDescent="0.55000000000000004">
      <c r="A25" t="s">
        <v>74</v>
      </c>
      <c r="B25" t="s">
        <v>28</v>
      </c>
      <c r="C25" t="s">
        <v>29</v>
      </c>
    </row>
    <row r="26" spans="1:3" x14ac:dyDescent="0.55000000000000004">
      <c r="A26" t="s">
        <v>76</v>
      </c>
      <c r="B26" t="s">
        <v>35</v>
      </c>
      <c r="C26" t="s">
        <v>0</v>
      </c>
    </row>
    <row r="27" spans="1:3" x14ac:dyDescent="0.55000000000000004">
      <c r="A27" t="s">
        <v>76</v>
      </c>
      <c r="B27" t="s">
        <v>36</v>
      </c>
      <c r="C27" t="s">
        <v>0</v>
      </c>
    </row>
    <row r="28" spans="1:3" x14ac:dyDescent="0.55000000000000004">
      <c r="A28" t="s">
        <v>76</v>
      </c>
      <c r="B28" t="s">
        <v>37</v>
      </c>
      <c r="C28" t="s">
        <v>16</v>
      </c>
    </row>
    <row r="29" spans="1:3" x14ac:dyDescent="0.55000000000000004">
      <c r="A29" t="s">
        <v>76</v>
      </c>
      <c r="B29" t="s">
        <v>38</v>
      </c>
      <c r="C29" t="s">
        <v>16</v>
      </c>
    </row>
    <row r="30" spans="1:3" x14ac:dyDescent="0.55000000000000004">
      <c r="A30" t="s">
        <v>76</v>
      </c>
      <c r="B30" t="s">
        <v>78</v>
      </c>
      <c r="C30" t="s">
        <v>81</v>
      </c>
    </row>
    <row r="31" spans="1:3" x14ac:dyDescent="0.55000000000000004">
      <c r="A31" t="s">
        <v>76</v>
      </c>
      <c r="B31" t="s">
        <v>79</v>
      </c>
      <c r="C31" t="s">
        <v>80</v>
      </c>
    </row>
    <row r="32" spans="1:3" x14ac:dyDescent="0.55000000000000004">
      <c r="A32" t="s">
        <v>76</v>
      </c>
      <c r="B32" t="s">
        <v>25</v>
      </c>
      <c r="C32">
        <v>0.03</v>
      </c>
    </row>
    <row r="33" spans="1:3" x14ac:dyDescent="0.55000000000000004">
      <c r="A33" t="s">
        <v>76</v>
      </c>
      <c r="B33" t="s">
        <v>28</v>
      </c>
      <c r="C33" t="s">
        <v>29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A2" sqref="A2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7</v>
      </c>
      <c r="B1" t="s">
        <v>8</v>
      </c>
      <c r="C1" t="s">
        <v>9</v>
      </c>
    </row>
    <row r="2" spans="1:4" x14ac:dyDescent="0.55000000000000004">
      <c r="A2" t="s">
        <v>20</v>
      </c>
      <c r="B2" t="s">
        <v>21</v>
      </c>
      <c r="C2" t="s">
        <v>10</v>
      </c>
    </row>
    <row r="4" spans="1:4" x14ac:dyDescent="0.55000000000000004">
      <c r="A4" t="s">
        <v>11</v>
      </c>
      <c r="B4" t="s">
        <v>12</v>
      </c>
      <c r="C4" t="s">
        <v>13</v>
      </c>
      <c r="D4" t="s">
        <v>14</v>
      </c>
    </row>
    <row r="5" spans="1:4" x14ac:dyDescent="0.55000000000000004">
      <c r="A5">
        <v>1</v>
      </c>
      <c r="B5" t="s">
        <v>26</v>
      </c>
      <c r="C5" t="s">
        <v>15</v>
      </c>
      <c r="D5" t="s">
        <v>26</v>
      </c>
    </row>
    <row r="6" spans="1:4" x14ac:dyDescent="0.55000000000000004">
      <c r="A6">
        <v>2</v>
      </c>
      <c r="B6" t="s">
        <v>0</v>
      </c>
      <c r="C6" t="s">
        <v>15</v>
      </c>
      <c r="D6" t="s">
        <v>0</v>
      </c>
    </row>
    <row r="7" spans="1:4" x14ac:dyDescent="0.55000000000000004">
      <c r="A7">
        <v>3</v>
      </c>
      <c r="B7" t="s">
        <v>16</v>
      </c>
      <c r="C7" t="s">
        <v>15</v>
      </c>
      <c r="D7" t="s">
        <v>3</v>
      </c>
    </row>
    <row r="8" spans="1:4" x14ac:dyDescent="0.55000000000000004">
      <c r="A8">
        <v>4</v>
      </c>
      <c r="B8" t="s">
        <v>22</v>
      </c>
      <c r="C8" t="s">
        <v>17</v>
      </c>
      <c r="D8" t="s">
        <v>23</v>
      </c>
    </row>
    <row r="9" spans="1:4" x14ac:dyDescent="0.55000000000000004">
      <c r="A9">
        <v>5</v>
      </c>
      <c r="B9" t="s">
        <v>18</v>
      </c>
      <c r="C9" t="s">
        <v>19</v>
      </c>
      <c r="D9" t="s">
        <v>24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D8"/>
  <sheetViews>
    <sheetView workbookViewId="0">
      <selection activeCell="D1" sqref="D1"/>
    </sheetView>
  </sheetViews>
  <sheetFormatPr defaultRowHeight="14.4" x14ac:dyDescent="0.55000000000000004"/>
  <sheetData>
    <row r="1" spans="1:4" x14ac:dyDescent="0.55000000000000004">
      <c r="A1" t="s">
        <v>99</v>
      </c>
      <c r="B1" t="s">
        <v>16</v>
      </c>
      <c r="C1" t="s">
        <v>22</v>
      </c>
      <c r="D1" t="s">
        <v>119</v>
      </c>
    </row>
    <row r="2" spans="1:4" x14ac:dyDescent="0.55000000000000004">
      <c r="A2">
        <v>1001</v>
      </c>
      <c r="B2">
        <v>500</v>
      </c>
      <c r="C2" t="s">
        <v>110</v>
      </c>
      <c r="D2" t="s">
        <v>120</v>
      </c>
    </row>
    <row r="3" spans="1:4" x14ac:dyDescent="0.55000000000000004">
      <c r="A3">
        <v>1002</v>
      </c>
      <c r="B3">
        <v>0</v>
      </c>
      <c r="C3" t="s">
        <v>112</v>
      </c>
      <c r="D3" t="s">
        <v>120</v>
      </c>
    </row>
    <row r="4" spans="1:4" x14ac:dyDescent="0.55000000000000004">
      <c r="A4">
        <v>1003</v>
      </c>
      <c r="B4">
        <v>200</v>
      </c>
      <c r="C4" t="s">
        <v>113</v>
      </c>
      <c r="D4" t="s">
        <v>121</v>
      </c>
    </row>
    <row r="5" spans="1:4" x14ac:dyDescent="0.55000000000000004">
      <c r="A5">
        <v>1004</v>
      </c>
      <c r="B5">
        <v>0</v>
      </c>
      <c r="C5" t="s">
        <v>113</v>
      </c>
      <c r="D5" t="s">
        <v>121</v>
      </c>
    </row>
    <row r="6" spans="1:4" x14ac:dyDescent="0.55000000000000004">
      <c r="A6">
        <v>1005</v>
      </c>
      <c r="B6">
        <v>150</v>
      </c>
      <c r="C6" t="s">
        <v>111</v>
      </c>
      <c r="D6" t="s">
        <v>116</v>
      </c>
    </row>
    <row r="7" spans="1:4" x14ac:dyDescent="0.55000000000000004">
      <c r="A7">
        <v>1006</v>
      </c>
      <c r="B7">
        <v>300</v>
      </c>
      <c r="C7" t="s">
        <v>110</v>
      </c>
      <c r="D7" t="s">
        <v>120</v>
      </c>
    </row>
    <row r="8" spans="1:4" x14ac:dyDescent="0.55000000000000004">
      <c r="A8">
        <v>1007</v>
      </c>
      <c r="B8">
        <v>50</v>
      </c>
      <c r="C8" t="s">
        <v>113</v>
      </c>
      <c r="D8" t="s">
        <v>121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D8"/>
  <sheetViews>
    <sheetView workbookViewId="0">
      <selection activeCell="B1" sqref="B1"/>
    </sheetView>
  </sheetViews>
  <sheetFormatPr defaultRowHeight="14.4" x14ac:dyDescent="0.55000000000000004"/>
  <cols>
    <col min="4" max="4" width="11.3671875" bestFit="1" customWidth="1"/>
  </cols>
  <sheetData>
    <row r="1" spans="1:4" x14ac:dyDescent="0.55000000000000004">
      <c r="A1" t="s">
        <v>99</v>
      </c>
      <c r="B1" t="s">
        <v>16</v>
      </c>
      <c r="C1" t="s">
        <v>22</v>
      </c>
      <c r="D1" t="s">
        <v>119</v>
      </c>
    </row>
    <row r="2" spans="1:4" x14ac:dyDescent="0.55000000000000004">
      <c r="A2">
        <v>1001</v>
      </c>
      <c r="B2">
        <v>500</v>
      </c>
      <c r="C2" t="s">
        <v>110</v>
      </c>
      <c r="D2" t="s">
        <v>120</v>
      </c>
    </row>
    <row r="3" spans="1:4" x14ac:dyDescent="0.55000000000000004">
      <c r="A3">
        <v>1002</v>
      </c>
      <c r="B3">
        <v>0</v>
      </c>
      <c r="C3" t="s">
        <v>112</v>
      </c>
      <c r="D3" t="s">
        <v>120</v>
      </c>
    </row>
    <row r="4" spans="1:4" x14ac:dyDescent="0.55000000000000004">
      <c r="A4">
        <v>1003</v>
      </c>
      <c r="B4">
        <v>200</v>
      </c>
      <c r="C4" t="s">
        <v>113</v>
      </c>
      <c r="D4" t="s">
        <v>121</v>
      </c>
    </row>
    <row r="5" spans="1:4" x14ac:dyDescent="0.55000000000000004">
      <c r="A5">
        <v>1004</v>
      </c>
      <c r="B5">
        <v>0</v>
      </c>
      <c r="C5" t="s">
        <v>113</v>
      </c>
      <c r="D5" t="s">
        <v>121</v>
      </c>
    </row>
    <row r="6" spans="1:4" x14ac:dyDescent="0.55000000000000004">
      <c r="A6">
        <v>1005</v>
      </c>
      <c r="B6">
        <v>150</v>
      </c>
      <c r="C6" t="s">
        <v>111</v>
      </c>
      <c r="D6" t="s">
        <v>116</v>
      </c>
    </row>
    <row r="7" spans="1:4" x14ac:dyDescent="0.55000000000000004">
      <c r="A7">
        <v>1006</v>
      </c>
      <c r="B7">
        <v>300</v>
      </c>
      <c r="C7" t="s">
        <v>110</v>
      </c>
      <c r="D7" t="s">
        <v>120</v>
      </c>
    </row>
    <row r="8" spans="1:4" x14ac:dyDescent="0.55000000000000004">
      <c r="A8">
        <v>1007</v>
      </c>
      <c r="B8">
        <v>50</v>
      </c>
      <c r="C8" t="s">
        <v>113</v>
      </c>
      <c r="D8" t="s">
        <v>121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F8"/>
  <sheetViews>
    <sheetView workbookViewId="0">
      <selection activeCell="A2" sqref="A2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0.05078125" bestFit="1" customWidth="1"/>
    <col min="7" max="7" width="12.578125" bestFit="1" customWidth="1"/>
    <col min="8" max="8" width="9.734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119</v>
      </c>
    </row>
    <row r="2" spans="1:6" x14ac:dyDescent="0.55000000000000004">
      <c r="A2" t="b">
        <v>1</v>
      </c>
      <c r="B2" s="2">
        <v>0</v>
      </c>
      <c r="C2">
        <v>1001</v>
      </c>
      <c r="D2" s="2">
        <v>500</v>
      </c>
      <c r="E2" s="2">
        <v>500</v>
      </c>
      <c r="F2" t="s">
        <v>120</v>
      </c>
    </row>
    <row r="3" spans="1:6" x14ac:dyDescent="0.55000000000000004">
      <c r="A3" t="b">
        <v>1</v>
      </c>
      <c r="B3" s="2">
        <v>0</v>
      </c>
      <c r="C3">
        <v>1002</v>
      </c>
      <c r="D3" s="2">
        <v>0</v>
      </c>
      <c r="E3" s="2">
        <v>0</v>
      </c>
      <c r="F3" t="s">
        <v>120</v>
      </c>
    </row>
    <row r="4" spans="1:6" s="7" customFormat="1" x14ac:dyDescent="0.55000000000000004">
      <c r="A4" s="7" t="b">
        <v>0</v>
      </c>
      <c r="B4" s="8">
        <v>-200</v>
      </c>
      <c r="C4" s="7">
        <v>1003</v>
      </c>
      <c r="D4" s="8">
        <v>0</v>
      </c>
      <c r="E4" s="8">
        <v>200</v>
      </c>
      <c r="F4" s="7" t="s">
        <v>121</v>
      </c>
    </row>
    <row r="5" spans="1:6" x14ac:dyDescent="0.55000000000000004">
      <c r="A5" t="b">
        <v>1</v>
      </c>
      <c r="B5" s="2">
        <v>0</v>
      </c>
      <c r="C5">
        <v>1004</v>
      </c>
      <c r="D5" s="2">
        <v>0</v>
      </c>
      <c r="E5" s="2">
        <v>0</v>
      </c>
      <c r="F5" t="s">
        <v>121</v>
      </c>
    </row>
    <row r="6" spans="1:6" s="7" customFormat="1" x14ac:dyDescent="0.55000000000000004">
      <c r="A6" s="7" t="b">
        <v>0</v>
      </c>
      <c r="B6" s="8">
        <v>-150</v>
      </c>
      <c r="C6" s="7">
        <v>1005</v>
      </c>
      <c r="D6" s="8">
        <v>0</v>
      </c>
      <c r="E6" s="8">
        <v>150</v>
      </c>
      <c r="F6" s="7" t="s">
        <v>116</v>
      </c>
    </row>
    <row r="7" spans="1:6" x14ac:dyDescent="0.55000000000000004">
      <c r="A7" t="b">
        <v>1</v>
      </c>
      <c r="B7" s="2">
        <v>0</v>
      </c>
      <c r="C7">
        <v>1006</v>
      </c>
      <c r="D7" s="2">
        <v>300</v>
      </c>
      <c r="E7" s="2">
        <v>300</v>
      </c>
      <c r="F7" t="s">
        <v>120</v>
      </c>
    </row>
    <row r="8" spans="1:6" s="7" customFormat="1" x14ac:dyDescent="0.55000000000000004">
      <c r="A8" s="7" t="b">
        <v>0</v>
      </c>
      <c r="B8" s="8">
        <v>-50</v>
      </c>
      <c r="C8" s="7">
        <v>1007</v>
      </c>
      <c r="D8" s="8">
        <v>0</v>
      </c>
      <c r="E8" s="8">
        <v>50</v>
      </c>
      <c r="F8" s="7" t="s">
        <v>121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F5"/>
  <sheetViews>
    <sheetView workbookViewId="0">
      <selection sqref="A1:F5"/>
    </sheetView>
  </sheetViews>
  <sheetFormatPr defaultRowHeight="14.4" x14ac:dyDescent="0.55000000000000004"/>
  <cols>
    <col min="1" max="1" width="4.68359375" bestFit="1" customWidth="1"/>
    <col min="2" max="2" width="12.20703125" bestFit="1" customWidth="1"/>
    <col min="3" max="3" width="9.15625" bestFit="1" customWidth="1"/>
    <col min="4" max="5" width="12.9453125" bestFit="1" customWidth="1"/>
    <col min="6" max="7" width="10.05078125" bestFit="1" customWidth="1"/>
    <col min="8" max="8" width="12.9453125" bestFit="1" customWidth="1"/>
    <col min="9" max="9" width="9.9453125" bestFit="1" customWidth="1"/>
  </cols>
  <sheetData>
    <row r="1" spans="1:6" x14ac:dyDescent="0.55000000000000004">
      <c r="A1" s="1" t="s">
        <v>0</v>
      </c>
      <c r="B1" s="1" t="s">
        <v>22</v>
      </c>
      <c r="C1" s="1" t="s">
        <v>16</v>
      </c>
      <c r="D1" s="1" t="s">
        <v>3</v>
      </c>
      <c r="E1" s="1" t="s">
        <v>4</v>
      </c>
      <c r="F1" s="1" t="s">
        <v>119</v>
      </c>
    </row>
    <row r="2" spans="1:6" x14ac:dyDescent="0.55000000000000004">
      <c r="A2">
        <v>1001</v>
      </c>
      <c r="B2" t="s">
        <v>110</v>
      </c>
      <c r="C2">
        <v>500</v>
      </c>
      <c r="D2" s="2">
        <v>500</v>
      </c>
      <c r="E2" s="2">
        <v>500</v>
      </c>
      <c r="F2" t="s">
        <v>120</v>
      </c>
    </row>
    <row r="3" spans="1:6" x14ac:dyDescent="0.55000000000000004">
      <c r="A3">
        <v>1002</v>
      </c>
      <c r="B3" t="s">
        <v>112</v>
      </c>
      <c r="C3">
        <v>0</v>
      </c>
      <c r="D3" s="2">
        <v>0</v>
      </c>
      <c r="E3" s="2">
        <v>0</v>
      </c>
      <c r="F3" t="s">
        <v>120</v>
      </c>
    </row>
    <row r="4" spans="1:6" x14ac:dyDescent="0.55000000000000004">
      <c r="A4">
        <v>1004</v>
      </c>
      <c r="B4" t="s">
        <v>113</v>
      </c>
      <c r="C4">
        <v>0</v>
      </c>
      <c r="D4" s="2">
        <v>0</v>
      </c>
      <c r="E4" s="2">
        <v>0</v>
      </c>
      <c r="F4" t="s">
        <v>121</v>
      </c>
    </row>
    <row r="5" spans="1:6" x14ac:dyDescent="0.55000000000000004">
      <c r="A5">
        <v>1006</v>
      </c>
      <c r="B5" t="s">
        <v>110</v>
      </c>
      <c r="C5">
        <v>300</v>
      </c>
      <c r="D5" s="2">
        <v>300</v>
      </c>
      <c r="E5" s="2">
        <v>300</v>
      </c>
      <c r="F5" t="s">
        <v>120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E4"/>
  <sheetViews>
    <sheetView tabSelected="1" workbookViewId="0"/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0.05078125" bestFit="1" customWidth="1"/>
    <col min="6" max="6" width="12.578125" bestFit="1" customWidth="1"/>
    <col min="7" max="7" width="9.734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119</v>
      </c>
    </row>
    <row r="2" spans="1:5" s="7" customFormat="1" x14ac:dyDescent="0.55000000000000004">
      <c r="A2" s="8">
        <v>-200</v>
      </c>
      <c r="B2" s="7">
        <v>1003</v>
      </c>
      <c r="C2" s="8">
        <v>0</v>
      </c>
      <c r="D2" s="8">
        <v>200</v>
      </c>
      <c r="E2" s="7" t="s">
        <v>121</v>
      </c>
    </row>
    <row r="3" spans="1:5" s="7" customFormat="1" x14ac:dyDescent="0.55000000000000004">
      <c r="A3" s="8">
        <v>-150</v>
      </c>
      <c r="B3" s="7">
        <v>1005</v>
      </c>
      <c r="C3" s="8">
        <v>0</v>
      </c>
      <c r="D3" s="8">
        <v>150</v>
      </c>
      <c r="E3" s="7" t="s">
        <v>116</v>
      </c>
    </row>
    <row r="4" spans="1:5" s="7" customFormat="1" x14ac:dyDescent="0.55000000000000004">
      <c r="A4" s="8">
        <v>-50</v>
      </c>
      <c r="B4" s="7">
        <v>1007</v>
      </c>
      <c r="C4" s="8">
        <v>0</v>
      </c>
      <c r="D4" s="8">
        <v>50</v>
      </c>
      <c r="E4" s="7" t="s">
        <v>121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5"/>
  <sheetViews>
    <sheetView workbookViewId="0"/>
  </sheetViews>
  <sheetFormatPr defaultRowHeight="14.4" x14ac:dyDescent="0.55000000000000004"/>
  <cols>
    <col min="1" max="1" width="9.89453125" bestFit="1" customWidth="1"/>
    <col min="2" max="2" width="4.6835937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26</v>
      </c>
      <c r="B1" t="s">
        <v>0</v>
      </c>
      <c r="C1" t="s">
        <v>16</v>
      </c>
      <c r="D1" t="s">
        <v>22</v>
      </c>
      <c r="E1" t="s">
        <v>18</v>
      </c>
    </row>
    <row r="2" spans="1:5" x14ac:dyDescent="0.55000000000000004">
      <c r="B2">
        <v>1001</v>
      </c>
      <c r="C2">
        <v>500</v>
      </c>
      <c r="D2" t="s">
        <v>23</v>
      </c>
      <c r="E2" t="str">
        <f>IF(Table79[[#This Row],[Amount]]&gt;100,"HIGH","LOW")</f>
        <v>HIGH</v>
      </c>
    </row>
    <row r="3" spans="1:5" x14ac:dyDescent="0.55000000000000004">
      <c r="B3">
        <v>1002</v>
      </c>
      <c r="C3">
        <v>0</v>
      </c>
      <c r="D3" t="s">
        <v>23</v>
      </c>
      <c r="E3" t="str">
        <f>IF(Table79[[#This Row],[Amount]]&gt;100,"HIGH","LOW")</f>
        <v>LOW</v>
      </c>
    </row>
    <row r="4" spans="1:5" x14ac:dyDescent="0.55000000000000004">
      <c r="B4">
        <v>1004</v>
      </c>
      <c r="C4">
        <v>0</v>
      </c>
      <c r="D4" t="s">
        <v>23</v>
      </c>
      <c r="E4" t="str">
        <f>IF(Table79[[#This Row],[Amount]]&gt;100,"HIGH","LOW")</f>
        <v>LOW</v>
      </c>
    </row>
    <row r="5" spans="1:5" x14ac:dyDescent="0.55000000000000004">
      <c r="B5">
        <v>1006</v>
      </c>
      <c r="C5">
        <v>300</v>
      </c>
      <c r="D5" t="s">
        <v>23</v>
      </c>
      <c r="E5" t="str">
        <f>IF(Table79[[#This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E236-9D82-4BF2-A83A-2286F185BE0B}">
  <sheetPr codeName="Sheet13"/>
  <dimension ref="A1:I6"/>
  <sheetViews>
    <sheetView workbookViewId="0">
      <selection activeCell="G1" sqref="G1"/>
    </sheetView>
  </sheetViews>
  <sheetFormatPr defaultRowHeight="14.4" x14ac:dyDescent="0.55000000000000004"/>
  <cols>
    <col min="1" max="1" width="10.20703125" bestFit="1" customWidth="1"/>
    <col min="2" max="2" width="8.3671875" bestFit="1" customWidth="1"/>
    <col min="3" max="3" width="12.578125" bestFit="1" customWidth="1"/>
    <col min="4" max="4" width="13.734375" bestFit="1" customWidth="1"/>
    <col min="5" max="5" width="8.578125" bestFit="1" customWidth="1"/>
    <col min="6" max="7" width="12.9453125" bestFit="1" customWidth="1"/>
    <col min="8" max="8" width="11.3125" bestFit="1" customWidth="1"/>
  </cols>
  <sheetData>
    <row r="1" spans="1:9" x14ac:dyDescent="0.55000000000000004">
      <c r="A1" t="s">
        <v>27</v>
      </c>
      <c r="B1" t="s">
        <v>39</v>
      </c>
      <c r="C1" t="s">
        <v>40</v>
      </c>
      <c r="D1" t="s">
        <v>41</v>
      </c>
      <c r="E1" t="s">
        <v>14</v>
      </c>
      <c r="F1" t="s">
        <v>3</v>
      </c>
      <c r="G1" t="s">
        <v>4</v>
      </c>
      <c r="H1" t="s">
        <v>5</v>
      </c>
      <c r="I1" t="s">
        <v>42</v>
      </c>
    </row>
    <row r="2" spans="1:9" x14ac:dyDescent="0.55000000000000004">
      <c r="B2" t="s">
        <v>43</v>
      </c>
      <c r="C2" t="s">
        <v>44</v>
      </c>
      <c r="F2">
        <v>250</v>
      </c>
      <c r="G2">
        <v>250</v>
      </c>
      <c r="I2" t="str">
        <f>IF(ABS(Table20[[#This Row],[Difference]])&lt;0.02,"OK","REVIEW")</f>
        <v>OK</v>
      </c>
    </row>
    <row r="3" spans="1:9" x14ac:dyDescent="0.55000000000000004">
      <c r="B3" t="s">
        <v>45</v>
      </c>
      <c r="C3" t="s">
        <v>46</v>
      </c>
      <c r="F3">
        <v>200</v>
      </c>
      <c r="G3">
        <v>200</v>
      </c>
    </row>
    <row r="4" spans="1:9" x14ac:dyDescent="0.55000000000000004">
      <c r="B4" t="s">
        <v>43</v>
      </c>
      <c r="C4" t="s">
        <v>44</v>
      </c>
      <c r="F4">
        <v>150.5</v>
      </c>
      <c r="G4">
        <v>150.5</v>
      </c>
    </row>
    <row r="5" spans="1:9" x14ac:dyDescent="0.55000000000000004">
      <c r="B5" t="s">
        <v>47</v>
      </c>
      <c r="C5" t="s">
        <v>48</v>
      </c>
      <c r="F5">
        <v>500</v>
      </c>
      <c r="G5">
        <v>500</v>
      </c>
    </row>
    <row r="6" spans="1:9" x14ac:dyDescent="0.55000000000000004">
      <c r="B6" t="s">
        <v>49</v>
      </c>
      <c r="C6" t="s">
        <v>50</v>
      </c>
      <c r="F6">
        <v>125</v>
      </c>
      <c r="G6">
        <v>125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01"/>
  <sheetViews>
    <sheetView workbookViewId="0">
      <selection activeCell="A12" sqref="A12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67.78906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51</v>
      </c>
      <c r="B1" s="3" t="s">
        <v>55</v>
      </c>
      <c r="C1" s="3" t="s">
        <v>52</v>
      </c>
      <c r="D1" s="3" t="s">
        <v>56</v>
      </c>
      <c r="E1" s="3" t="s">
        <v>42</v>
      </c>
      <c r="F1" s="3" t="s">
        <v>57</v>
      </c>
      <c r="G1" s="3" t="s">
        <v>53</v>
      </c>
    </row>
    <row r="2" spans="1:7" x14ac:dyDescent="0.55000000000000004">
      <c r="A2" s="4">
        <v>46066.496712962966</v>
      </c>
      <c r="B2" s="3" t="s">
        <v>58</v>
      </c>
      <c r="C2" s="3" t="s">
        <v>59</v>
      </c>
      <c r="D2" s="3" t="s">
        <v>60</v>
      </c>
      <c r="E2" s="3" t="s">
        <v>61</v>
      </c>
      <c r="F2" s="3">
        <v>6</v>
      </c>
      <c r="G2" s="3" t="s">
        <v>54</v>
      </c>
    </row>
    <row r="3" spans="1:7" x14ac:dyDescent="0.55000000000000004">
      <c r="A3" s="4">
        <v>46066.49690972222</v>
      </c>
      <c r="B3" s="3" t="s">
        <v>58</v>
      </c>
      <c r="C3" s="3" t="s">
        <v>59</v>
      </c>
      <c r="D3" s="3" t="s">
        <v>62</v>
      </c>
      <c r="E3" s="3" t="s">
        <v>61</v>
      </c>
      <c r="F3" s="3">
        <v>12</v>
      </c>
      <c r="G3" s="3" t="s">
        <v>54</v>
      </c>
    </row>
    <row r="4" spans="1:7" x14ac:dyDescent="0.55000000000000004">
      <c r="A4" s="4">
        <v>46066.497071759259</v>
      </c>
      <c r="B4" s="3" t="s">
        <v>63</v>
      </c>
      <c r="C4" s="3" t="s">
        <v>34</v>
      </c>
      <c r="D4" s="3" t="s">
        <v>64</v>
      </c>
      <c r="E4" s="3" t="s">
        <v>61</v>
      </c>
      <c r="F4" s="3">
        <v>7</v>
      </c>
      <c r="G4" s="3" t="s">
        <v>54</v>
      </c>
    </row>
    <row r="5" spans="1:7" x14ac:dyDescent="0.55000000000000004">
      <c r="A5" s="4">
        <v>46066.497210648151</v>
      </c>
      <c r="B5" s="3" t="s">
        <v>65</v>
      </c>
      <c r="C5" s="3" t="s">
        <v>34</v>
      </c>
      <c r="D5" s="3" t="s">
        <v>66</v>
      </c>
      <c r="E5" s="3" t="s">
        <v>61</v>
      </c>
      <c r="F5" s="3">
        <v>10</v>
      </c>
      <c r="G5" s="3" t="s">
        <v>54</v>
      </c>
    </row>
    <row r="6" spans="1:7" x14ac:dyDescent="0.55000000000000004">
      <c r="A6" s="4">
        <v>46066.502638888887</v>
      </c>
      <c r="B6" s="3" t="s">
        <v>58</v>
      </c>
      <c r="C6" s="3" t="s">
        <v>59</v>
      </c>
      <c r="D6" s="3" t="s">
        <v>60</v>
      </c>
      <c r="E6" s="3" t="s">
        <v>61</v>
      </c>
      <c r="F6" s="3">
        <v>6</v>
      </c>
      <c r="G6" s="3" t="s">
        <v>54</v>
      </c>
    </row>
    <row r="7" spans="1:7" x14ac:dyDescent="0.55000000000000004">
      <c r="A7" s="4">
        <v>46066.502789351849</v>
      </c>
      <c r="B7" s="3" t="s">
        <v>58</v>
      </c>
      <c r="C7" s="3" t="s">
        <v>59</v>
      </c>
      <c r="D7" s="3" t="s">
        <v>62</v>
      </c>
      <c r="E7" s="3" t="s">
        <v>61</v>
      </c>
      <c r="F7" s="3">
        <v>12</v>
      </c>
      <c r="G7" s="3" t="s">
        <v>54</v>
      </c>
    </row>
    <row r="8" spans="1:7" x14ac:dyDescent="0.55000000000000004">
      <c r="A8" s="4">
        <v>46066.50304398148</v>
      </c>
      <c r="B8" s="3" t="s">
        <v>63</v>
      </c>
      <c r="C8" s="3" t="s">
        <v>34</v>
      </c>
      <c r="D8" s="3" t="s">
        <v>64</v>
      </c>
      <c r="E8" s="3" t="s">
        <v>61</v>
      </c>
      <c r="F8" s="3">
        <v>7</v>
      </c>
      <c r="G8" s="3" t="s">
        <v>54</v>
      </c>
    </row>
    <row r="9" spans="1:7" x14ac:dyDescent="0.55000000000000004">
      <c r="A9" s="4">
        <v>46066.525462962964</v>
      </c>
      <c r="B9" s="3" t="s">
        <v>58</v>
      </c>
      <c r="C9" s="3" t="s">
        <v>59</v>
      </c>
      <c r="D9" s="3" t="s">
        <v>60</v>
      </c>
      <c r="E9" s="3" t="s">
        <v>61</v>
      </c>
      <c r="F9" s="3">
        <v>6</v>
      </c>
      <c r="G9" s="3" t="s">
        <v>54</v>
      </c>
    </row>
    <row r="10" spans="1:7" x14ac:dyDescent="0.55000000000000004">
      <c r="A10" s="4">
        <v>46066.525578703702</v>
      </c>
      <c r="B10" s="3" t="s">
        <v>58</v>
      </c>
      <c r="C10" s="3" t="s">
        <v>59</v>
      </c>
      <c r="D10" s="3" t="s">
        <v>62</v>
      </c>
      <c r="E10" s="3" t="s">
        <v>61</v>
      </c>
      <c r="F10" s="3">
        <v>12</v>
      </c>
      <c r="G10" s="3" t="s">
        <v>54</v>
      </c>
    </row>
    <row r="11" spans="1:7" x14ac:dyDescent="0.55000000000000004">
      <c r="A11" s="4">
        <v>46066.525601851848</v>
      </c>
      <c r="B11" s="3" t="s">
        <v>63</v>
      </c>
      <c r="C11" s="3" t="s">
        <v>34</v>
      </c>
      <c r="D11" s="3" t="s">
        <v>64</v>
      </c>
      <c r="E11" s="3" t="s">
        <v>61</v>
      </c>
      <c r="F11" s="3">
        <v>7</v>
      </c>
      <c r="G11" s="3" t="s">
        <v>54</v>
      </c>
    </row>
    <row r="12" spans="1:7" x14ac:dyDescent="0.55000000000000004">
      <c r="A12" s="4">
        <v>46066.525636574072</v>
      </c>
      <c r="B12" s="3" t="s">
        <v>65</v>
      </c>
      <c r="C12" s="3" t="s">
        <v>34</v>
      </c>
      <c r="D12" s="3" t="s">
        <v>66</v>
      </c>
      <c r="E12" s="3" t="s">
        <v>61</v>
      </c>
      <c r="F12" s="3">
        <v>10</v>
      </c>
      <c r="G12" s="3" t="s">
        <v>54</v>
      </c>
    </row>
    <row r="13" spans="1:7" x14ac:dyDescent="0.55000000000000004">
      <c r="A13" s="4">
        <v>46066.537870370368</v>
      </c>
      <c r="B13" s="3" t="s">
        <v>63</v>
      </c>
      <c r="C13" s="3" t="s">
        <v>34</v>
      </c>
      <c r="D13" s="3" t="s">
        <v>64</v>
      </c>
      <c r="E13" s="3" t="s">
        <v>61</v>
      </c>
      <c r="F13" s="3">
        <v>7</v>
      </c>
      <c r="G13" s="3" t="s">
        <v>54</v>
      </c>
    </row>
    <row r="14" spans="1:7" x14ac:dyDescent="0.55000000000000004">
      <c r="A14" s="4">
        <v>46066.537905092591</v>
      </c>
      <c r="B14" s="3" t="s">
        <v>65</v>
      </c>
      <c r="C14" s="3" t="s">
        <v>34</v>
      </c>
      <c r="D14" s="3" t="s">
        <v>66</v>
      </c>
      <c r="E14" s="3" t="s">
        <v>61</v>
      </c>
      <c r="F14" s="3">
        <v>10</v>
      </c>
      <c r="G14" s="3" t="s">
        <v>54</v>
      </c>
    </row>
    <row r="15" spans="1:7" x14ac:dyDescent="0.55000000000000004">
      <c r="A15" s="4">
        <v>46066.730324074073</v>
      </c>
      <c r="B15" s="3" t="s">
        <v>58</v>
      </c>
      <c r="C15" s="3" t="s">
        <v>59</v>
      </c>
      <c r="D15" s="3" t="s">
        <v>82</v>
      </c>
      <c r="E15" s="3" t="s">
        <v>61</v>
      </c>
      <c r="F15" s="3">
        <v>3</v>
      </c>
      <c r="G15" s="3" t="s">
        <v>54</v>
      </c>
    </row>
    <row r="16" spans="1:7" x14ac:dyDescent="0.55000000000000004">
      <c r="A16" s="4">
        <v>46066.730509259258</v>
      </c>
      <c r="B16" s="3" t="s">
        <v>58</v>
      </c>
      <c r="C16" s="3" t="s">
        <v>59</v>
      </c>
      <c r="D16" s="3" t="s">
        <v>83</v>
      </c>
      <c r="E16" s="3" t="s">
        <v>61</v>
      </c>
      <c r="F16" s="3">
        <v>3</v>
      </c>
      <c r="G16" s="3" t="s">
        <v>54</v>
      </c>
    </row>
    <row r="17" spans="1:7" x14ac:dyDescent="0.55000000000000004">
      <c r="A17" s="4">
        <v>46066.731168981481</v>
      </c>
      <c r="B17" s="3" t="s">
        <v>63</v>
      </c>
      <c r="C17" s="3" t="s">
        <v>34</v>
      </c>
      <c r="D17" s="3" t="s">
        <v>84</v>
      </c>
      <c r="E17" s="3" t="s">
        <v>61</v>
      </c>
      <c r="F17" s="3">
        <v>3</v>
      </c>
      <c r="G17" s="3" t="s">
        <v>54</v>
      </c>
    </row>
    <row r="18" spans="1:7" x14ac:dyDescent="0.55000000000000004">
      <c r="A18" s="4">
        <v>46066.731377314813</v>
      </c>
      <c r="B18" s="3" t="s">
        <v>65</v>
      </c>
      <c r="C18" s="3" t="s">
        <v>34</v>
      </c>
      <c r="D18" s="3" t="s">
        <v>66</v>
      </c>
      <c r="E18" s="3" t="s">
        <v>61</v>
      </c>
      <c r="F18" s="3">
        <v>3</v>
      </c>
      <c r="G18" s="3" t="s">
        <v>54</v>
      </c>
    </row>
    <row r="19" spans="1:7" x14ac:dyDescent="0.55000000000000004">
      <c r="A19" s="4">
        <v>46066.795787037037</v>
      </c>
      <c r="B19" s="3" t="s">
        <v>58</v>
      </c>
      <c r="C19" s="3" t="s">
        <v>59</v>
      </c>
      <c r="D19" s="3" t="s">
        <v>87</v>
      </c>
      <c r="E19" s="3" t="s">
        <v>61</v>
      </c>
      <c r="F19" s="3">
        <v>3</v>
      </c>
      <c r="G19" s="3" t="s">
        <v>54</v>
      </c>
    </row>
    <row r="20" spans="1:7" x14ac:dyDescent="0.55000000000000004">
      <c r="A20" s="4">
        <v>46066.796157407407</v>
      </c>
      <c r="B20" s="3" t="s">
        <v>58</v>
      </c>
      <c r="C20" s="3" t="s">
        <v>59</v>
      </c>
      <c r="D20" s="3" t="s">
        <v>88</v>
      </c>
      <c r="E20" s="3" t="s">
        <v>61</v>
      </c>
      <c r="F20" s="3">
        <v>4</v>
      </c>
      <c r="G20" s="3" t="s">
        <v>54</v>
      </c>
    </row>
    <row r="21" spans="1:7" x14ac:dyDescent="0.55000000000000004">
      <c r="A21" s="4">
        <v>46066.79619212963</v>
      </c>
      <c r="B21" s="3" t="s">
        <v>63</v>
      </c>
      <c r="C21" s="3" t="s">
        <v>74</v>
      </c>
      <c r="D21" s="3" t="s">
        <v>89</v>
      </c>
      <c r="E21" s="3" t="s">
        <v>61</v>
      </c>
      <c r="F21" s="3">
        <v>3</v>
      </c>
      <c r="G21" s="3" t="s">
        <v>54</v>
      </c>
    </row>
    <row r="22" spans="1:7" x14ac:dyDescent="0.55000000000000004">
      <c r="A22" s="4">
        <v>46066.800150462965</v>
      </c>
      <c r="B22" s="3" t="s">
        <v>58</v>
      </c>
      <c r="C22" s="3" t="s">
        <v>59</v>
      </c>
      <c r="D22" s="3" t="s">
        <v>87</v>
      </c>
      <c r="E22" s="3" t="s">
        <v>61</v>
      </c>
      <c r="F22" s="3">
        <v>3</v>
      </c>
      <c r="G22" s="3" t="s">
        <v>54</v>
      </c>
    </row>
    <row r="23" spans="1:7" x14ac:dyDescent="0.55000000000000004">
      <c r="A23" s="4">
        <v>46066.800254629627</v>
      </c>
      <c r="B23" s="3" t="s">
        <v>58</v>
      </c>
      <c r="C23" s="3" t="s">
        <v>59</v>
      </c>
      <c r="D23" s="3" t="s">
        <v>88</v>
      </c>
      <c r="E23" s="3" t="s">
        <v>61</v>
      </c>
      <c r="F23" s="3">
        <v>4</v>
      </c>
      <c r="G23" s="3" t="s">
        <v>54</v>
      </c>
    </row>
    <row r="24" spans="1:7" x14ac:dyDescent="0.55000000000000004">
      <c r="A24" s="4">
        <v>46066.800312500003</v>
      </c>
      <c r="B24" s="3" t="s">
        <v>63</v>
      </c>
      <c r="C24" s="3" t="s">
        <v>70</v>
      </c>
      <c r="D24" s="3" t="s">
        <v>89</v>
      </c>
      <c r="E24" s="3" t="s">
        <v>61</v>
      </c>
      <c r="F24" s="3">
        <v>3</v>
      </c>
      <c r="G24" s="3" t="s">
        <v>54</v>
      </c>
    </row>
    <row r="25" spans="1:7" x14ac:dyDescent="0.55000000000000004">
      <c r="A25" s="4">
        <v>46066.801504629628</v>
      </c>
      <c r="B25" s="3" t="s">
        <v>58</v>
      </c>
      <c r="C25" s="3" t="s">
        <v>59</v>
      </c>
      <c r="D25" s="3" t="s">
        <v>87</v>
      </c>
      <c r="E25" s="3" t="s">
        <v>61</v>
      </c>
      <c r="F25" s="3">
        <v>3</v>
      </c>
      <c r="G25" s="3" t="s">
        <v>54</v>
      </c>
    </row>
    <row r="26" spans="1:7" x14ac:dyDescent="0.55000000000000004">
      <c r="A26" s="4">
        <v>46066.80159722222</v>
      </c>
      <c r="B26" s="3" t="s">
        <v>58</v>
      </c>
      <c r="C26" s="3" t="s">
        <v>59</v>
      </c>
      <c r="D26" s="3" t="s">
        <v>90</v>
      </c>
      <c r="E26" s="3" t="s">
        <v>61</v>
      </c>
      <c r="F26" s="3">
        <v>10</v>
      </c>
      <c r="G26" s="3" t="s">
        <v>54</v>
      </c>
    </row>
    <row r="27" spans="1:7" x14ac:dyDescent="0.55000000000000004">
      <c r="A27" s="4">
        <v>46066.801678240743</v>
      </c>
      <c r="B27" s="3" t="s">
        <v>63</v>
      </c>
      <c r="C27" s="3" t="s">
        <v>70</v>
      </c>
      <c r="D27" s="3" t="s">
        <v>91</v>
      </c>
      <c r="E27" s="3" t="s">
        <v>61</v>
      </c>
      <c r="F27" s="3">
        <v>3</v>
      </c>
      <c r="G27" s="3" t="s">
        <v>54</v>
      </c>
    </row>
    <row r="28" spans="1:7" x14ac:dyDescent="0.55000000000000004">
      <c r="A28" s="4">
        <v>46066.801759259259</v>
      </c>
      <c r="B28" s="3" t="s">
        <v>63</v>
      </c>
      <c r="C28" s="3" t="s">
        <v>70</v>
      </c>
      <c r="D28" s="3" t="s">
        <v>91</v>
      </c>
      <c r="E28" s="3" t="s">
        <v>61</v>
      </c>
      <c r="F28" s="3">
        <v>3</v>
      </c>
      <c r="G28" s="3" t="s">
        <v>54</v>
      </c>
    </row>
    <row r="29" spans="1:7" x14ac:dyDescent="0.55000000000000004">
      <c r="A29" s="4">
        <v>46066.803148148145</v>
      </c>
      <c r="B29" s="3" t="s">
        <v>58</v>
      </c>
      <c r="C29" s="3" t="s">
        <v>59</v>
      </c>
      <c r="D29" s="3" t="s">
        <v>88</v>
      </c>
      <c r="E29" s="3" t="s">
        <v>61</v>
      </c>
      <c r="F29" s="3">
        <v>4</v>
      </c>
      <c r="G29" s="3" t="s">
        <v>54</v>
      </c>
    </row>
    <row r="30" spans="1:7" x14ac:dyDescent="0.55000000000000004">
      <c r="A30" s="4">
        <v>46066.803298611114</v>
      </c>
      <c r="B30" s="3" t="s">
        <v>58</v>
      </c>
      <c r="C30" s="3" t="s">
        <v>59</v>
      </c>
      <c r="D30" s="3" t="s">
        <v>87</v>
      </c>
      <c r="E30" s="3" t="s">
        <v>61</v>
      </c>
      <c r="F30" s="3">
        <v>3</v>
      </c>
      <c r="G30" s="3" t="s">
        <v>54</v>
      </c>
    </row>
    <row r="31" spans="1:7" x14ac:dyDescent="0.55000000000000004">
      <c r="A31" s="4">
        <v>46066.803333333337</v>
      </c>
      <c r="B31" s="3" t="s">
        <v>63</v>
      </c>
      <c r="C31" s="3" t="s">
        <v>70</v>
      </c>
      <c r="D31" s="3" t="s">
        <v>89</v>
      </c>
      <c r="E31" s="3" t="s">
        <v>61</v>
      </c>
      <c r="F31" s="3">
        <v>3</v>
      </c>
      <c r="G31" s="3" t="s">
        <v>54</v>
      </c>
    </row>
    <row r="32" spans="1:7" x14ac:dyDescent="0.55000000000000004">
      <c r="A32" s="4">
        <v>46066.804016203707</v>
      </c>
      <c r="B32" s="3" t="s">
        <v>63</v>
      </c>
      <c r="C32" s="3" t="s">
        <v>70</v>
      </c>
      <c r="D32" s="3" t="s">
        <v>89</v>
      </c>
      <c r="E32" s="3" t="s">
        <v>61</v>
      </c>
      <c r="F32" s="3">
        <v>3</v>
      </c>
      <c r="G32" s="3" t="s">
        <v>54</v>
      </c>
    </row>
    <row r="33" spans="1:7" x14ac:dyDescent="0.55000000000000004">
      <c r="A33" s="4">
        <v>46066.804062499999</v>
      </c>
      <c r="B33" s="3" t="s">
        <v>65</v>
      </c>
      <c r="C33" s="3" t="s">
        <v>70</v>
      </c>
      <c r="D33" s="3" t="s">
        <v>92</v>
      </c>
      <c r="E33" s="3" t="s">
        <v>61</v>
      </c>
      <c r="F33" s="3">
        <v>0</v>
      </c>
      <c r="G33" s="3" t="s">
        <v>54</v>
      </c>
    </row>
    <row r="34" spans="1:7" x14ac:dyDescent="0.55000000000000004">
      <c r="A34" s="4">
        <v>46066.804282407407</v>
      </c>
      <c r="B34" s="3" t="s">
        <v>63</v>
      </c>
      <c r="C34" s="3" t="s">
        <v>70</v>
      </c>
      <c r="D34" s="3" t="s">
        <v>89</v>
      </c>
      <c r="E34" s="3" t="s">
        <v>61</v>
      </c>
      <c r="F34" s="3">
        <v>3</v>
      </c>
      <c r="G34" s="3" t="s">
        <v>54</v>
      </c>
    </row>
    <row r="35" spans="1:7" x14ac:dyDescent="0.55000000000000004">
      <c r="A35" s="4">
        <v>46066.813356481478</v>
      </c>
      <c r="B35" s="3" t="s">
        <v>58</v>
      </c>
      <c r="C35" s="3" t="s">
        <v>59</v>
      </c>
      <c r="D35" s="3" t="s">
        <v>87</v>
      </c>
      <c r="E35" s="3" t="s">
        <v>61</v>
      </c>
      <c r="F35" s="3">
        <v>3</v>
      </c>
      <c r="G35" s="3" t="s">
        <v>54</v>
      </c>
    </row>
    <row r="36" spans="1:7" x14ac:dyDescent="0.55000000000000004">
      <c r="A36" s="4">
        <v>46066.813599537039</v>
      </c>
      <c r="B36" s="3" t="s">
        <v>58</v>
      </c>
      <c r="C36" s="3" t="s">
        <v>59</v>
      </c>
      <c r="D36" s="3" t="s">
        <v>88</v>
      </c>
      <c r="E36" s="3" t="s">
        <v>61</v>
      </c>
      <c r="F36" s="3">
        <v>4</v>
      </c>
      <c r="G36" s="3" t="s">
        <v>54</v>
      </c>
    </row>
    <row r="37" spans="1:7" x14ac:dyDescent="0.55000000000000004">
      <c r="A37" s="4">
        <v>46066.813750000001</v>
      </c>
      <c r="B37" s="3" t="s">
        <v>63</v>
      </c>
      <c r="C37" s="3" t="s">
        <v>70</v>
      </c>
      <c r="D37" s="3" t="s">
        <v>89</v>
      </c>
      <c r="E37" s="3" t="s">
        <v>61</v>
      </c>
      <c r="F37" s="3">
        <v>3</v>
      </c>
      <c r="G37" s="3" t="s">
        <v>54</v>
      </c>
    </row>
    <row r="38" spans="1:7" x14ac:dyDescent="0.55000000000000004">
      <c r="A38" s="4">
        <v>46066.815416666665</v>
      </c>
      <c r="B38" s="3" t="s">
        <v>58</v>
      </c>
      <c r="C38" s="3" t="s">
        <v>59</v>
      </c>
      <c r="D38" s="3" t="s">
        <v>87</v>
      </c>
      <c r="E38" s="3" t="s">
        <v>61</v>
      </c>
      <c r="F38" s="3">
        <v>3</v>
      </c>
      <c r="G38" s="3" t="s">
        <v>54</v>
      </c>
    </row>
    <row r="39" spans="1:7" x14ac:dyDescent="0.55000000000000004">
      <c r="A39" s="4">
        <v>46066.815520833334</v>
      </c>
      <c r="B39" s="3" t="s">
        <v>58</v>
      </c>
      <c r="C39" s="3" t="s">
        <v>59</v>
      </c>
      <c r="D39" s="3" t="s">
        <v>88</v>
      </c>
      <c r="E39" s="3" t="s">
        <v>61</v>
      </c>
      <c r="F39" s="3">
        <v>4</v>
      </c>
      <c r="G39" s="3" t="s">
        <v>54</v>
      </c>
    </row>
    <row r="40" spans="1:7" x14ac:dyDescent="0.55000000000000004">
      <c r="A40" s="5">
        <v>46066.817557870374</v>
      </c>
      <c r="B40" s="6" t="s">
        <v>63</v>
      </c>
      <c r="C40" s="6" t="s">
        <v>70</v>
      </c>
      <c r="D40" s="6" t="s">
        <v>89</v>
      </c>
      <c r="E40" s="6" t="s">
        <v>61</v>
      </c>
      <c r="F40" s="6">
        <v>3</v>
      </c>
      <c r="G40" s="6" t="s">
        <v>54</v>
      </c>
    </row>
    <row r="41" spans="1:7" x14ac:dyDescent="0.55000000000000004">
      <c r="A41" s="5">
        <v>46066.822777777779</v>
      </c>
      <c r="B41" s="6" t="s">
        <v>58</v>
      </c>
      <c r="C41" s="6" t="s">
        <v>59</v>
      </c>
      <c r="D41" s="6" t="s">
        <v>87</v>
      </c>
      <c r="E41" s="6" t="s">
        <v>61</v>
      </c>
      <c r="F41" s="6">
        <v>3</v>
      </c>
      <c r="G41" s="6" t="s">
        <v>54</v>
      </c>
    </row>
    <row r="42" spans="1:7" x14ac:dyDescent="0.55000000000000004">
      <c r="A42" s="5">
        <v>46066.823067129626</v>
      </c>
      <c r="B42" s="6" t="s">
        <v>58</v>
      </c>
      <c r="C42" s="6" t="s">
        <v>59</v>
      </c>
      <c r="D42" s="6" t="s">
        <v>88</v>
      </c>
      <c r="E42" s="6" t="s">
        <v>61</v>
      </c>
      <c r="F42" s="6">
        <v>4</v>
      </c>
      <c r="G42" s="6" t="s">
        <v>54</v>
      </c>
    </row>
    <row r="43" spans="1:7" x14ac:dyDescent="0.55000000000000004">
      <c r="A43" s="5">
        <v>46066.824050925927</v>
      </c>
      <c r="B43" s="6" t="s">
        <v>58</v>
      </c>
      <c r="C43" s="6" t="s">
        <v>59</v>
      </c>
      <c r="D43" s="6" t="s">
        <v>87</v>
      </c>
      <c r="E43" s="6" t="s">
        <v>61</v>
      </c>
      <c r="F43" s="6">
        <v>3</v>
      </c>
      <c r="G43" s="6" t="s">
        <v>54</v>
      </c>
    </row>
    <row r="44" spans="1:7" x14ac:dyDescent="0.55000000000000004">
      <c r="A44" s="5">
        <v>46066.824131944442</v>
      </c>
      <c r="B44" s="6" t="s">
        <v>58</v>
      </c>
      <c r="C44" s="6" t="s">
        <v>59</v>
      </c>
      <c r="D44" s="6" t="s">
        <v>88</v>
      </c>
      <c r="E44" s="6" t="s">
        <v>61</v>
      </c>
      <c r="F44" s="6">
        <v>4</v>
      </c>
      <c r="G44" s="6" t="s">
        <v>54</v>
      </c>
    </row>
    <row r="45" spans="1:7" x14ac:dyDescent="0.55000000000000004">
      <c r="A45" s="5">
        <v>46066.82712962963</v>
      </c>
      <c r="B45" s="6" t="s">
        <v>63</v>
      </c>
      <c r="C45" s="6" t="s">
        <v>70</v>
      </c>
      <c r="D45" s="6" t="s">
        <v>89</v>
      </c>
      <c r="E45" s="6" t="s">
        <v>61</v>
      </c>
      <c r="F45" s="6">
        <v>3</v>
      </c>
      <c r="G45" s="6" t="s">
        <v>54</v>
      </c>
    </row>
    <row r="46" spans="1:7" x14ac:dyDescent="0.55000000000000004">
      <c r="A46" s="5">
        <v>46066.83011574074</v>
      </c>
      <c r="B46" s="6" t="s">
        <v>58</v>
      </c>
      <c r="C46" s="6" t="s">
        <v>59</v>
      </c>
      <c r="D46" s="6" t="s">
        <v>87</v>
      </c>
      <c r="E46" s="6" t="s">
        <v>61</v>
      </c>
      <c r="F46" s="6">
        <v>3</v>
      </c>
      <c r="G46" s="6" t="s">
        <v>54</v>
      </c>
    </row>
    <row r="47" spans="1:7" x14ac:dyDescent="0.55000000000000004">
      <c r="A47" s="5">
        <v>46066.830185185187</v>
      </c>
      <c r="B47" s="6" t="s">
        <v>58</v>
      </c>
      <c r="C47" s="6" t="s">
        <v>59</v>
      </c>
      <c r="D47" s="6" t="s">
        <v>88</v>
      </c>
      <c r="E47" s="6" t="s">
        <v>61</v>
      </c>
      <c r="F47" s="6">
        <v>4</v>
      </c>
      <c r="G47" s="6" t="s">
        <v>54</v>
      </c>
    </row>
    <row r="48" spans="1:7" x14ac:dyDescent="0.55000000000000004">
      <c r="A48" s="5">
        <v>46066.830347222225</v>
      </c>
      <c r="B48" s="6" t="s">
        <v>63</v>
      </c>
      <c r="C48" s="6" t="s">
        <v>74</v>
      </c>
      <c r="D48" s="6" t="s">
        <v>89</v>
      </c>
      <c r="E48" s="6" t="s">
        <v>61</v>
      </c>
      <c r="F48" s="6">
        <v>3</v>
      </c>
      <c r="G48" s="6" t="s">
        <v>54</v>
      </c>
    </row>
    <row r="49" spans="1:7" x14ac:dyDescent="0.55000000000000004">
      <c r="A49" s="5">
        <v>46066.831944444442</v>
      </c>
      <c r="B49" s="6" t="s">
        <v>63</v>
      </c>
      <c r="C49" s="6" t="s">
        <v>74</v>
      </c>
      <c r="D49" s="6" t="s">
        <v>89</v>
      </c>
      <c r="E49" s="6" t="s">
        <v>61</v>
      </c>
      <c r="F49" s="6">
        <v>3</v>
      </c>
      <c r="G49" s="6" t="s">
        <v>54</v>
      </c>
    </row>
    <row r="50" spans="1:7" x14ac:dyDescent="0.55000000000000004">
      <c r="A50" s="5">
        <v>46066.841898148145</v>
      </c>
      <c r="B50" s="6" t="s">
        <v>58</v>
      </c>
      <c r="C50" s="6" t="s">
        <v>59</v>
      </c>
      <c r="D50" s="6" t="s">
        <v>87</v>
      </c>
      <c r="E50" s="6" t="s">
        <v>61</v>
      </c>
      <c r="F50" s="6">
        <v>3</v>
      </c>
      <c r="G50" s="6" t="s">
        <v>54</v>
      </c>
    </row>
    <row r="51" spans="1:7" x14ac:dyDescent="0.55000000000000004">
      <c r="A51" s="5">
        <v>46066.841967592591</v>
      </c>
      <c r="B51" s="6" t="s">
        <v>58</v>
      </c>
      <c r="C51" s="6" t="s">
        <v>59</v>
      </c>
      <c r="D51" s="6" t="s">
        <v>88</v>
      </c>
      <c r="E51" s="6" t="s">
        <v>61</v>
      </c>
      <c r="F51" s="6">
        <v>4</v>
      </c>
      <c r="G51" s="6" t="s">
        <v>54</v>
      </c>
    </row>
    <row r="52" spans="1:7" x14ac:dyDescent="0.55000000000000004">
      <c r="A52" s="5">
        <v>46066.841990740744</v>
      </c>
      <c r="B52" s="6" t="s">
        <v>63</v>
      </c>
      <c r="C52" s="6" t="s">
        <v>70</v>
      </c>
      <c r="D52" s="6" t="s">
        <v>89</v>
      </c>
      <c r="E52" s="6" t="s">
        <v>61</v>
      </c>
      <c r="F52" s="6">
        <v>3</v>
      </c>
      <c r="G52" s="6" t="s">
        <v>54</v>
      </c>
    </row>
    <row r="53" spans="1:7" x14ac:dyDescent="0.55000000000000004">
      <c r="A53" s="5">
        <v>46066.842187499999</v>
      </c>
      <c r="B53" s="6" t="s">
        <v>63</v>
      </c>
      <c r="C53" s="6" t="s">
        <v>70</v>
      </c>
      <c r="D53" s="6" t="s">
        <v>89</v>
      </c>
      <c r="E53" s="6" t="s">
        <v>61</v>
      </c>
      <c r="F53" s="6">
        <v>3</v>
      </c>
      <c r="G53" s="6" t="s">
        <v>54</v>
      </c>
    </row>
    <row r="54" spans="1:7" x14ac:dyDescent="0.55000000000000004">
      <c r="A54" s="5">
        <v>46066.844467592593</v>
      </c>
      <c r="B54" s="6" t="s">
        <v>58</v>
      </c>
      <c r="C54" s="6" t="s">
        <v>59</v>
      </c>
      <c r="D54" s="6" t="s">
        <v>87</v>
      </c>
      <c r="E54" s="6" t="s">
        <v>61</v>
      </c>
      <c r="F54" s="6">
        <v>3</v>
      </c>
      <c r="G54" s="6" t="s">
        <v>54</v>
      </c>
    </row>
    <row r="55" spans="1:7" x14ac:dyDescent="0.55000000000000004">
      <c r="A55" s="5">
        <v>46066.844548611109</v>
      </c>
      <c r="B55" s="6" t="s">
        <v>58</v>
      </c>
      <c r="C55" s="6" t="s">
        <v>59</v>
      </c>
      <c r="D55" s="6" t="s">
        <v>88</v>
      </c>
      <c r="E55" s="6" t="s">
        <v>61</v>
      </c>
      <c r="F55" s="6">
        <v>4</v>
      </c>
      <c r="G55" s="6" t="s">
        <v>54</v>
      </c>
    </row>
    <row r="56" spans="1:7" x14ac:dyDescent="0.55000000000000004">
      <c r="A56" s="5">
        <v>46066.846631944441</v>
      </c>
      <c r="B56" s="6" t="s">
        <v>58</v>
      </c>
      <c r="C56" s="6" t="s">
        <v>59</v>
      </c>
      <c r="D56" s="6" t="s">
        <v>87</v>
      </c>
      <c r="E56" s="6" t="s">
        <v>61</v>
      </c>
      <c r="F56" s="6">
        <v>3</v>
      </c>
      <c r="G56" s="6" t="s">
        <v>54</v>
      </c>
    </row>
    <row r="57" spans="1:7" x14ac:dyDescent="0.55000000000000004">
      <c r="A57" s="5">
        <v>46066.846712962964</v>
      </c>
      <c r="B57" s="6" t="s">
        <v>58</v>
      </c>
      <c r="C57" s="6" t="s">
        <v>59</v>
      </c>
      <c r="D57" s="6" t="s">
        <v>90</v>
      </c>
      <c r="E57" s="6" t="s">
        <v>61</v>
      </c>
      <c r="F57" s="6">
        <v>10</v>
      </c>
      <c r="G57" s="6" t="s">
        <v>54</v>
      </c>
    </row>
    <row r="58" spans="1:7" x14ac:dyDescent="0.55000000000000004">
      <c r="A58" s="5">
        <v>46066.848946759259</v>
      </c>
      <c r="B58" s="6" t="s">
        <v>58</v>
      </c>
      <c r="C58" s="6" t="s">
        <v>59</v>
      </c>
      <c r="D58" s="6" t="s">
        <v>87</v>
      </c>
      <c r="E58" s="6" t="s">
        <v>61</v>
      </c>
      <c r="F58" s="6">
        <v>3</v>
      </c>
      <c r="G58" s="6" t="s">
        <v>54</v>
      </c>
    </row>
    <row r="59" spans="1:7" x14ac:dyDescent="0.55000000000000004">
      <c r="A59" s="5">
        <v>46066.849097222221</v>
      </c>
      <c r="B59" s="6" t="s">
        <v>58</v>
      </c>
      <c r="C59" s="6" t="s">
        <v>59</v>
      </c>
      <c r="D59" s="6" t="s">
        <v>88</v>
      </c>
      <c r="E59" s="6" t="s">
        <v>61</v>
      </c>
      <c r="F59" s="6">
        <v>4</v>
      </c>
      <c r="G59" s="6" t="s">
        <v>54</v>
      </c>
    </row>
    <row r="60" spans="1:7" x14ac:dyDescent="0.55000000000000004">
      <c r="A60" s="5">
        <v>46066.851273148146</v>
      </c>
      <c r="B60" s="6" t="s">
        <v>58</v>
      </c>
      <c r="C60" s="6" t="s">
        <v>59</v>
      </c>
      <c r="D60" s="6" t="s">
        <v>87</v>
      </c>
      <c r="E60" s="6" t="s">
        <v>61</v>
      </c>
      <c r="F60" s="6">
        <v>3</v>
      </c>
      <c r="G60" s="6" t="s">
        <v>54</v>
      </c>
    </row>
    <row r="61" spans="1:7" x14ac:dyDescent="0.55000000000000004">
      <c r="A61" s="5">
        <v>46066.851354166669</v>
      </c>
      <c r="B61" s="6" t="s">
        <v>58</v>
      </c>
      <c r="C61" s="6" t="s">
        <v>59</v>
      </c>
      <c r="D61" s="6" t="s">
        <v>88</v>
      </c>
      <c r="E61" s="6" t="s">
        <v>61</v>
      </c>
      <c r="F61" s="6">
        <v>4</v>
      </c>
      <c r="G61" s="6" t="s">
        <v>54</v>
      </c>
    </row>
    <row r="62" spans="1:7" x14ac:dyDescent="0.55000000000000004">
      <c r="A62" s="5">
        <v>46066.852465277778</v>
      </c>
      <c r="B62" s="6" t="s">
        <v>63</v>
      </c>
      <c r="C62" s="6" t="s">
        <v>74</v>
      </c>
      <c r="D62" s="6" t="s">
        <v>89</v>
      </c>
      <c r="E62" s="6" t="s">
        <v>61</v>
      </c>
      <c r="F62" s="6">
        <v>3</v>
      </c>
      <c r="G62" s="6" t="s">
        <v>54</v>
      </c>
    </row>
    <row r="63" spans="1:7" x14ac:dyDescent="0.55000000000000004">
      <c r="A63" s="5">
        <v>46066.854062500002</v>
      </c>
      <c r="B63" s="6" t="s">
        <v>58</v>
      </c>
      <c r="C63" s="6" t="s">
        <v>59</v>
      </c>
      <c r="D63" s="6" t="s">
        <v>87</v>
      </c>
      <c r="E63" s="6" t="s">
        <v>61</v>
      </c>
      <c r="F63" s="6">
        <v>8</v>
      </c>
      <c r="G63" s="6" t="s">
        <v>54</v>
      </c>
    </row>
    <row r="64" spans="1:7" x14ac:dyDescent="0.55000000000000004">
      <c r="A64" s="5">
        <v>46066.854143518518</v>
      </c>
      <c r="B64" s="6" t="s">
        <v>58</v>
      </c>
      <c r="C64" s="6" t="s">
        <v>59</v>
      </c>
      <c r="D64" s="6" t="s">
        <v>88</v>
      </c>
      <c r="E64" s="6" t="s">
        <v>61</v>
      </c>
      <c r="F64" s="6">
        <v>9</v>
      </c>
      <c r="G64" s="6" t="s">
        <v>54</v>
      </c>
    </row>
    <row r="65" spans="1:7" x14ac:dyDescent="0.55000000000000004">
      <c r="A65" s="5">
        <v>46066.854166666664</v>
      </c>
      <c r="B65" s="6" t="s">
        <v>63</v>
      </c>
      <c r="C65" s="6" t="s">
        <v>74</v>
      </c>
      <c r="D65" s="6" t="s">
        <v>93</v>
      </c>
      <c r="E65" s="6" t="s">
        <v>61</v>
      </c>
      <c r="F65" s="6">
        <v>8</v>
      </c>
      <c r="G65" s="6" t="s">
        <v>54</v>
      </c>
    </row>
    <row r="66" spans="1:7" x14ac:dyDescent="0.55000000000000004">
      <c r="A66" s="5">
        <v>46067.421805555554</v>
      </c>
      <c r="B66" s="6" t="s">
        <v>63</v>
      </c>
      <c r="C66" s="6" t="s">
        <v>74</v>
      </c>
      <c r="D66" s="6" t="s">
        <v>93</v>
      </c>
      <c r="E66" s="6" t="s">
        <v>61</v>
      </c>
      <c r="F66" s="6">
        <v>8</v>
      </c>
      <c r="G66" s="6" t="s">
        <v>54</v>
      </c>
    </row>
    <row r="67" spans="1:7" x14ac:dyDescent="0.55000000000000004">
      <c r="A67" s="5">
        <v>46067.423321759263</v>
      </c>
      <c r="B67" s="6" t="s">
        <v>63</v>
      </c>
      <c r="C67" s="6" t="s">
        <v>74</v>
      </c>
      <c r="D67" s="6" t="s">
        <v>93</v>
      </c>
      <c r="E67" s="6" t="s">
        <v>61</v>
      </c>
      <c r="F67" s="6">
        <v>8</v>
      </c>
      <c r="G67" s="6" t="s">
        <v>54</v>
      </c>
    </row>
    <row r="68" spans="1:7" x14ac:dyDescent="0.55000000000000004">
      <c r="A68" s="5">
        <v>46067.424224537041</v>
      </c>
      <c r="B68" s="6" t="s">
        <v>58</v>
      </c>
      <c r="C68" s="6" t="s">
        <v>59</v>
      </c>
      <c r="D68" s="6" t="s">
        <v>87</v>
      </c>
      <c r="E68" s="6" t="s">
        <v>61</v>
      </c>
      <c r="F68" s="6">
        <v>8</v>
      </c>
      <c r="G68" s="6" t="s">
        <v>54</v>
      </c>
    </row>
    <row r="69" spans="1:7" x14ac:dyDescent="0.55000000000000004">
      <c r="A69" s="5">
        <v>46067.424293981479</v>
      </c>
      <c r="B69" s="6" t="s">
        <v>58</v>
      </c>
      <c r="C69" s="6" t="s">
        <v>59</v>
      </c>
      <c r="D69" s="6" t="s">
        <v>88</v>
      </c>
      <c r="E69" s="6" t="s">
        <v>61</v>
      </c>
      <c r="F69" s="6">
        <v>9</v>
      </c>
      <c r="G69" s="6" t="s">
        <v>54</v>
      </c>
    </row>
    <row r="70" spans="1:7" x14ac:dyDescent="0.55000000000000004">
      <c r="A70" s="5">
        <v>46067.424340277779</v>
      </c>
      <c r="B70" s="6" t="s">
        <v>63</v>
      </c>
      <c r="C70" s="6" t="s">
        <v>74</v>
      </c>
      <c r="D70" s="6" t="s">
        <v>93</v>
      </c>
      <c r="E70" s="6" t="s">
        <v>61</v>
      </c>
      <c r="F70" s="6">
        <v>8</v>
      </c>
      <c r="G70" s="6" t="s">
        <v>54</v>
      </c>
    </row>
    <row r="71" spans="1:7" x14ac:dyDescent="0.55000000000000004">
      <c r="A71" s="5">
        <v>46067.425104166665</v>
      </c>
      <c r="B71" s="6" t="s">
        <v>58</v>
      </c>
      <c r="C71" s="6" t="s">
        <v>59</v>
      </c>
      <c r="D71" s="6" t="s">
        <v>87</v>
      </c>
      <c r="E71" s="6" t="s">
        <v>61</v>
      </c>
      <c r="F71" s="6">
        <v>8</v>
      </c>
      <c r="G71" s="6" t="s">
        <v>54</v>
      </c>
    </row>
    <row r="72" spans="1:7" x14ac:dyDescent="0.55000000000000004">
      <c r="A72" s="5">
        <v>46067.425162037034</v>
      </c>
      <c r="B72" s="6" t="s">
        <v>58</v>
      </c>
      <c r="C72" s="6" t="s">
        <v>59</v>
      </c>
      <c r="D72" s="6" t="s">
        <v>88</v>
      </c>
      <c r="E72" s="6" t="s">
        <v>61</v>
      </c>
      <c r="F72" s="6">
        <v>9</v>
      </c>
      <c r="G72" s="6" t="s">
        <v>54</v>
      </c>
    </row>
    <row r="73" spans="1:7" x14ac:dyDescent="0.55000000000000004">
      <c r="A73" s="5">
        <v>46067.425219907411</v>
      </c>
      <c r="B73" s="6" t="s">
        <v>63</v>
      </c>
      <c r="C73" s="6" t="s">
        <v>74</v>
      </c>
      <c r="D73" s="6" t="s">
        <v>93</v>
      </c>
      <c r="E73" s="6" t="s">
        <v>61</v>
      </c>
      <c r="F73" s="6">
        <v>8</v>
      </c>
      <c r="G73" s="6" t="s">
        <v>54</v>
      </c>
    </row>
    <row r="74" spans="1:7" x14ac:dyDescent="0.55000000000000004">
      <c r="A74" s="5">
        <v>46067.426886574074</v>
      </c>
      <c r="B74" s="6" t="s">
        <v>63</v>
      </c>
      <c r="C74" s="6" t="s">
        <v>74</v>
      </c>
      <c r="D74" s="6" t="s">
        <v>93</v>
      </c>
      <c r="E74" s="6" t="s">
        <v>61</v>
      </c>
      <c r="F74" s="6">
        <v>8</v>
      </c>
      <c r="G74" s="6" t="s">
        <v>54</v>
      </c>
    </row>
    <row r="75" spans="1:7" x14ac:dyDescent="0.55000000000000004">
      <c r="A75" s="5">
        <v>46067.66611111111</v>
      </c>
      <c r="B75" s="6" t="s">
        <v>58</v>
      </c>
      <c r="C75" s="6" t="s">
        <v>59</v>
      </c>
      <c r="D75" s="6" t="s">
        <v>109</v>
      </c>
      <c r="E75" s="6" t="s">
        <v>61</v>
      </c>
      <c r="F75" s="6">
        <v>9</v>
      </c>
      <c r="G75" s="6" t="s">
        <v>54</v>
      </c>
    </row>
    <row r="76" spans="1:7" x14ac:dyDescent="0.55000000000000004">
      <c r="A76" s="5">
        <v>46067.666284722225</v>
      </c>
      <c r="B76" s="6" t="s">
        <v>58</v>
      </c>
      <c r="C76" s="6" t="s">
        <v>59</v>
      </c>
      <c r="D76" s="6" t="s">
        <v>114</v>
      </c>
      <c r="E76" s="6" t="s">
        <v>61</v>
      </c>
      <c r="F76" s="6">
        <v>6</v>
      </c>
      <c r="G76" s="6" t="s">
        <v>54</v>
      </c>
    </row>
    <row r="77" spans="1:7" x14ac:dyDescent="0.55000000000000004">
      <c r="A77" s="5">
        <v>46067.666377314818</v>
      </c>
      <c r="B77" s="6" t="s">
        <v>63</v>
      </c>
      <c r="C77" s="6" t="s">
        <v>74</v>
      </c>
      <c r="D77" s="6" t="s">
        <v>115</v>
      </c>
      <c r="E77" s="6" t="s">
        <v>61</v>
      </c>
      <c r="F77" s="6">
        <v>4</v>
      </c>
      <c r="G77" s="6" t="s">
        <v>54</v>
      </c>
    </row>
    <row r="78" spans="1:7" x14ac:dyDescent="0.55000000000000004">
      <c r="A78" s="5">
        <v>46067.666458333333</v>
      </c>
      <c r="B78" s="6" t="s">
        <v>63</v>
      </c>
      <c r="C78" s="6" t="s">
        <v>74</v>
      </c>
      <c r="D78" s="6" t="s">
        <v>115</v>
      </c>
      <c r="E78" s="6" t="s">
        <v>61</v>
      </c>
      <c r="F78" s="6">
        <v>4</v>
      </c>
      <c r="G78" s="6" t="s">
        <v>54</v>
      </c>
    </row>
    <row r="79" spans="1:7" x14ac:dyDescent="0.55000000000000004">
      <c r="A79" s="5">
        <v>46067.666828703703</v>
      </c>
      <c r="B79" s="6" t="s">
        <v>63</v>
      </c>
      <c r="C79" s="6" t="s">
        <v>74</v>
      </c>
      <c r="D79" s="6" t="s">
        <v>115</v>
      </c>
      <c r="E79" s="6" t="s">
        <v>61</v>
      </c>
      <c r="F79" s="6">
        <v>4</v>
      </c>
      <c r="G79" s="6" t="s">
        <v>54</v>
      </c>
    </row>
    <row r="80" spans="1:7" x14ac:dyDescent="0.55000000000000004">
      <c r="A80" s="5">
        <v>46067.666979166665</v>
      </c>
      <c r="B80" s="6" t="s">
        <v>63</v>
      </c>
      <c r="C80" s="6" t="s">
        <v>74</v>
      </c>
      <c r="D80" s="6" t="s">
        <v>115</v>
      </c>
      <c r="E80" s="6" t="s">
        <v>61</v>
      </c>
      <c r="F80" s="6">
        <v>4</v>
      </c>
      <c r="G80" s="6" t="s">
        <v>54</v>
      </c>
    </row>
    <row r="81" spans="1:7" x14ac:dyDescent="0.55000000000000004">
      <c r="A81" s="5">
        <v>46067.667233796295</v>
      </c>
      <c r="B81" s="6" t="s">
        <v>63</v>
      </c>
      <c r="C81" s="6" t="s">
        <v>74</v>
      </c>
      <c r="D81" s="6" t="s">
        <v>115</v>
      </c>
      <c r="E81" s="6" t="s">
        <v>61</v>
      </c>
      <c r="F81" s="6">
        <v>4</v>
      </c>
      <c r="G81" s="6" t="s">
        <v>54</v>
      </c>
    </row>
    <row r="82" spans="1:7" x14ac:dyDescent="0.55000000000000004">
      <c r="A82" s="5">
        <v>46067.66920138889</v>
      </c>
      <c r="B82" s="6" t="s">
        <v>58</v>
      </c>
      <c r="C82" s="6" t="s">
        <v>59</v>
      </c>
      <c r="D82" s="6" t="s">
        <v>109</v>
      </c>
      <c r="E82" s="6" t="s">
        <v>61</v>
      </c>
      <c r="F82" s="6">
        <v>7</v>
      </c>
      <c r="G82" s="6" t="s">
        <v>54</v>
      </c>
    </row>
    <row r="83" spans="1:7" x14ac:dyDescent="0.55000000000000004">
      <c r="A83" s="5">
        <v>46067.669571759259</v>
      </c>
      <c r="B83" s="6" t="s">
        <v>58</v>
      </c>
      <c r="C83" s="6" t="s">
        <v>59</v>
      </c>
      <c r="D83" s="6" t="s">
        <v>114</v>
      </c>
      <c r="E83" s="6" t="s">
        <v>61</v>
      </c>
      <c r="F83" s="6">
        <v>13</v>
      </c>
      <c r="G83" s="6" t="s">
        <v>54</v>
      </c>
    </row>
    <row r="84" spans="1:7" x14ac:dyDescent="0.55000000000000004">
      <c r="A84" s="5">
        <v>46067.669699074075</v>
      </c>
      <c r="B84" s="6" t="s">
        <v>63</v>
      </c>
      <c r="C84" s="6" t="s">
        <v>74</v>
      </c>
      <c r="D84" s="6" t="s">
        <v>117</v>
      </c>
      <c r="E84" s="6" t="s">
        <v>61</v>
      </c>
      <c r="F84" s="6">
        <v>8</v>
      </c>
      <c r="G84" s="6" t="s">
        <v>54</v>
      </c>
    </row>
    <row r="85" spans="1:7" x14ac:dyDescent="0.55000000000000004">
      <c r="A85" s="5">
        <v>46067.670960648145</v>
      </c>
      <c r="B85" s="6" t="s">
        <v>63</v>
      </c>
      <c r="C85" s="6" t="s">
        <v>74</v>
      </c>
      <c r="D85" s="6" t="s">
        <v>117</v>
      </c>
      <c r="E85" s="6" t="s">
        <v>61</v>
      </c>
      <c r="F85" s="6">
        <v>8</v>
      </c>
      <c r="G85" s="6" t="s">
        <v>54</v>
      </c>
    </row>
    <row r="86" spans="1:7" x14ac:dyDescent="0.55000000000000004">
      <c r="A86" s="5">
        <v>46067.672256944446</v>
      </c>
      <c r="B86" s="6" t="s">
        <v>58</v>
      </c>
      <c r="C86" s="6" t="s">
        <v>59</v>
      </c>
      <c r="D86" s="6" t="s">
        <v>109</v>
      </c>
      <c r="E86" s="6" t="s">
        <v>61</v>
      </c>
      <c r="F86" s="6">
        <v>7</v>
      </c>
      <c r="G86" s="6" t="s">
        <v>54</v>
      </c>
    </row>
    <row r="87" spans="1:7" x14ac:dyDescent="0.55000000000000004">
      <c r="A87" s="5">
        <v>46067.672372685185</v>
      </c>
      <c r="B87" s="6" t="s">
        <v>63</v>
      </c>
      <c r="C87" s="6" t="s">
        <v>74</v>
      </c>
      <c r="D87" s="6" t="s">
        <v>117</v>
      </c>
      <c r="E87" s="6" t="s">
        <v>61</v>
      </c>
      <c r="F87" s="6">
        <v>8</v>
      </c>
      <c r="G87" s="6" t="s">
        <v>54</v>
      </c>
    </row>
    <row r="88" spans="1:7" x14ac:dyDescent="0.55000000000000004">
      <c r="A88" s="5">
        <v>46067.673078703701</v>
      </c>
      <c r="B88" s="6" t="s">
        <v>63</v>
      </c>
      <c r="C88" s="6" t="s">
        <v>74</v>
      </c>
      <c r="D88" s="6" t="s">
        <v>117</v>
      </c>
      <c r="E88" s="6" t="s">
        <v>61</v>
      </c>
      <c r="F88" s="6">
        <v>8</v>
      </c>
      <c r="G88" s="6" t="s">
        <v>54</v>
      </c>
    </row>
    <row r="89" spans="1:7" x14ac:dyDescent="0.55000000000000004">
      <c r="A89" s="5">
        <v>46067.67386574074</v>
      </c>
      <c r="B89" s="6" t="s">
        <v>63</v>
      </c>
      <c r="C89" s="6" t="s">
        <v>74</v>
      </c>
      <c r="D89" s="6" t="s">
        <v>117</v>
      </c>
      <c r="E89" s="6" t="s">
        <v>61</v>
      </c>
      <c r="F89" s="6">
        <v>8</v>
      </c>
      <c r="G89" s="6" t="s">
        <v>54</v>
      </c>
    </row>
    <row r="90" spans="1:7" x14ac:dyDescent="0.55000000000000004">
      <c r="A90" s="5">
        <v>46067.674027777779</v>
      </c>
      <c r="B90" s="6" t="s">
        <v>58</v>
      </c>
      <c r="C90" s="6" t="s">
        <v>59</v>
      </c>
      <c r="D90" s="6" t="s">
        <v>109</v>
      </c>
      <c r="E90" s="6" t="s">
        <v>61</v>
      </c>
      <c r="F90" s="6">
        <v>7</v>
      </c>
      <c r="G90" s="6" t="s">
        <v>54</v>
      </c>
    </row>
    <row r="91" spans="1:7" x14ac:dyDescent="0.55000000000000004">
      <c r="A91" s="5">
        <v>46067.674178240741</v>
      </c>
      <c r="B91" s="6" t="s">
        <v>58</v>
      </c>
      <c r="C91" s="6" t="s">
        <v>59</v>
      </c>
      <c r="D91" s="6" t="s">
        <v>109</v>
      </c>
      <c r="E91" s="6" t="s">
        <v>61</v>
      </c>
      <c r="F91" s="6">
        <v>7</v>
      </c>
      <c r="G91" s="6" t="s">
        <v>54</v>
      </c>
    </row>
    <row r="92" spans="1:7" x14ac:dyDescent="0.55000000000000004">
      <c r="A92" s="5">
        <v>46067.674259259256</v>
      </c>
      <c r="B92" s="6" t="s">
        <v>58</v>
      </c>
      <c r="C92" s="6" t="s">
        <v>59</v>
      </c>
      <c r="D92" s="6" t="s">
        <v>114</v>
      </c>
      <c r="E92" s="6" t="s">
        <v>61</v>
      </c>
      <c r="F92" s="6">
        <v>13</v>
      </c>
      <c r="G92" s="6" t="s">
        <v>54</v>
      </c>
    </row>
    <row r="93" spans="1:7" x14ac:dyDescent="0.55000000000000004">
      <c r="A93" s="5">
        <v>46067.676863425928</v>
      </c>
      <c r="B93" s="6" t="s">
        <v>63</v>
      </c>
      <c r="C93" s="6" t="s">
        <v>74</v>
      </c>
      <c r="D93" s="6" t="s">
        <v>117</v>
      </c>
      <c r="E93" s="6" t="s">
        <v>61</v>
      </c>
      <c r="F93" s="6">
        <v>8</v>
      </c>
      <c r="G93" s="6" t="s">
        <v>54</v>
      </c>
    </row>
    <row r="94" spans="1:7" x14ac:dyDescent="0.55000000000000004">
      <c r="A94" s="5">
        <v>46067.693032407406</v>
      </c>
      <c r="B94" s="6" t="s">
        <v>58</v>
      </c>
      <c r="C94" s="6" t="s">
        <v>59</v>
      </c>
      <c r="D94" s="6" t="s">
        <v>109</v>
      </c>
      <c r="E94" s="6" t="s">
        <v>61</v>
      </c>
      <c r="F94" s="6">
        <v>7</v>
      </c>
      <c r="G94" s="6" t="s">
        <v>54</v>
      </c>
    </row>
    <row r="95" spans="1:7" x14ac:dyDescent="0.55000000000000004">
      <c r="A95" s="5">
        <v>46067.693113425928</v>
      </c>
      <c r="B95" s="6" t="s">
        <v>58</v>
      </c>
      <c r="C95" s="6" t="s">
        <v>59</v>
      </c>
      <c r="D95" s="6" t="s">
        <v>123</v>
      </c>
      <c r="E95" s="6" t="s">
        <v>61</v>
      </c>
      <c r="F95" s="6">
        <v>7</v>
      </c>
      <c r="G95" s="6" t="s">
        <v>54</v>
      </c>
    </row>
    <row r="96" spans="1:7" x14ac:dyDescent="0.55000000000000004">
      <c r="A96" s="5">
        <v>46067.693240740744</v>
      </c>
      <c r="B96" s="6" t="s">
        <v>63</v>
      </c>
      <c r="C96" s="6" t="s">
        <v>74</v>
      </c>
      <c r="D96" s="6" t="s">
        <v>124</v>
      </c>
      <c r="E96" s="6" t="s">
        <v>61</v>
      </c>
      <c r="F96" s="6">
        <v>5</v>
      </c>
      <c r="G96" s="6" t="s">
        <v>54</v>
      </c>
    </row>
    <row r="97" spans="1:7" x14ac:dyDescent="0.55000000000000004">
      <c r="A97" s="5">
        <v>46067.693402777775</v>
      </c>
      <c r="B97" s="6" t="s">
        <v>63</v>
      </c>
      <c r="C97" s="6" t="s">
        <v>74</v>
      </c>
      <c r="D97" s="6" t="s">
        <v>124</v>
      </c>
      <c r="E97" s="6" t="s">
        <v>61</v>
      </c>
      <c r="F97" s="6">
        <v>5</v>
      </c>
      <c r="G97" s="6" t="s">
        <v>54</v>
      </c>
    </row>
    <row r="98" spans="1:7" x14ac:dyDescent="0.55000000000000004">
      <c r="A98" s="5">
        <v>46067.694016203706</v>
      </c>
      <c r="B98" s="6" t="s">
        <v>63</v>
      </c>
      <c r="C98" s="6" t="s">
        <v>74</v>
      </c>
      <c r="D98" s="6" t="s">
        <v>125</v>
      </c>
      <c r="E98" s="6" t="s">
        <v>61</v>
      </c>
      <c r="F98" s="6">
        <v>7</v>
      </c>
      <c r="G98" s="6" t="s">
        <v>54</v>
      </c>
    </row>
    <row r="99" spans="1:7" x14ac:dyDescent="0.55000000000000004">
      <c r="A99" s="5">
        <v>46067.694560185184</v>
      </c>
      <c r="B99" s="6" t="s">
        <v>65</v>
      </c>
      <c r="C99" s="6" t="s">
        <v>74</v>
      </c>
      <c r="D99" s="6" t="s">
        <v>66</v>
      </c>
      <c r="E99" s="6" t="s">
        <v>61</v>
      </c>
      <c r="F99" s="6">
        <v>4</v>
      </c>
      <c r="G99" s="6" t="s">
        <v>54</v>
      </c>
    </row>
    <row r="100" spans="1:7" x14ac:dyDescent="0.55000000000000004">
      <c r="A100" s="5">
        <v>46067.696250000001</v>
      </c>
      <c r="B100" s="6" t="s">
        <v>63</v>
      </c>
      <c r="C100" s="6" t="s">
        <v>74</v>
      </c>
      <c r="D100" s="6" t="s">
        <v>125</v>
      </c>
      <c r="E100" s="6" t="s">
        <v>61</v>
      </c>
      <c r="F100" s="6">
        <v>7</v>
      </c>
      <c r="G100" s="6" t="s">
        <v>54</v>
      </c>
    </row>
    <row r="101" spans="1:7" x14ac:dyDescent="0.55000000000000004">
      <c r="A101" s="5">
        <v>46067.696319444447</v>
      </c>
      <c r="B101" s="6" t="s">
        <v>65</v>
      </c>
      <c r="C101" s="6" t="s">
        <v>74</v>
      </c>
      <c r="D101" s="6" t="s">
        <v>66</v>
      </c>
      <c r="E101" s="6" t="s">
        <v>61</v>
      </c>
      <c r="F101" s="6">
        <v>4</v>
      </c>
      <c r="G101" s="6" t="s">
        <v>54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Backlog</vt:lpstr>
      <vt:lpstr>Workflows</vt:lpstr>
      <vt:lpstr>Recon Config Settings</vt:lpstr>
      <vt:lpstr>Recon Config</vt:lpstr>
      <vt:lpstr>Recon Config - Summary</vt:lpstr>
      <vt:lpstr>Transform Config</vt:lpstr>
      <vt:lpstr>Sheet1</vt:lpstr>
      <vt:lpstr>Sheet2</vt:lpstr>
      <vt:lpstr>All Results</vt:lpstr>
      <vt:lpstr>Match Results</vt:lpstr>
      <vt:lpstr>Error Results</vt:lpstr>
      <vt:lpstr>Export</vt:lpstr>
      <vt:lpstr>Summary Export</vt:lpstr>
      <vt:lpstr>Activity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2026-02-14T22:42:50Z</dcterms:modified>
</cp:coreProperties>
</file>