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5445" documentId="8_{02591AEE-AA27-4992-A490-F4BCF6A95374}" xr6:coauthVersionLast="47" xr6:coauthVersionMax="47" xr10:uidLastSave="{51272C65-8FEF-418A-828C-CF4258E43256}"/>
  <bookViews>
    <workbookView xWindow="-96" yWindow="-96" windowWidth="23232" windowHeight="13872" tabRatio="901" activeTab="1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H10" i="28"/>
  <c r="H11" i="28"/>
  <c r="G2" i="28"/>
  <c r="G3" i="28"/>
  <c r="G4" i="28"/>
  <c r="G5" i="28"/>
  <c r="G6" i="28"/>
  <c r="G7" i="28"/>
  <c r="G8" i="28"/>
  <c r="G9" i="28"/>
  <c r="G10" i="28"/>
  <c r="G11" i="28"/>
  <c r="D14" i="8"/>
  <c r="D16" i="8"/>
</calcChain>
</file>

<file path=xl/sharedStrings.xml><?xml version="1.0" encoding="utf-8"?>
<sst xmlns="http://schemas.openxmlformats.org/spreadsheetml/2006/main" count="1356" uniqueCount="184">
  <si>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</si>
  <si>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</si>
  <si>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</si>
  <si>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</si>
  <si>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</si>
  <si>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</si>
  <si>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</si>
  <si>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</si>
  <si>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</si>
  <si>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</si>
  <si>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</si>
  <si>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</si>
  <si>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</si>
  <si>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</si>
  <si>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</si>
  <si>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</si>
  <si>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</si>
  <si>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</si>
  <si>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</si>
  <si>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</si>
  <si>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</si>
  <si>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</si>
  <si>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</si>
  <si>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</si>
  <si>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</si>
  <si>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</si>
  <si>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</si>
  <si>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</si>
  <si>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</si>
  <si>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</si>
  <si>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</si>
  <si>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</si>
  <si>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</si>
  <si>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</si>
  <si>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</si>
  <si>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</si>
  <si>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</si>
  <si>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</si>
  <si>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</si>
  <si>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</si>
  <si>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</si>
  <si>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</si>
  <si>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</si>
  <si>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</si>
  <si>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</si>
  <si>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</si>
  <si>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</si>
  <si>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</si>
  <si>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</si>
  <si>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</si>
  <si>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</si>
  <si>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</si>
  <si>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</si>
  <si>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</si>
  <si>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</si>
  <si>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</si>
  <si>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</si>
  <si>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</si>
  <si>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</si>
  <si>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</si>
  <si>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</si>
  <si>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</si>
  <si>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</si>
  <si>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</si>
  <si>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</si>
  <si>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</si>
  <si>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</si>
  <si>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</si>
  <si>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</si>
  <si>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</si>
  <si>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</si>
  <si>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</si>
  <si>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</si>
  <si>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</si>
  <si>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</si>
  <si>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</si>
  <si>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</si>
  <si>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</si>
  <si>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</si>
  <si>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</si>
  <si>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</si>
  <si>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</si>
  <si>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</si>
  <si>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</si>
  <si>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</si>
  <si>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</si>
  <si>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</si>
  <si>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</si>
  <si>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</si>
  <si>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</si>
  <si>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</si>
  <si>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</si>
  <si>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</si>
  <si>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</si>
  <si>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</si>
  <si>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</si>
  <si>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</si>
  <si>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</si>
  <si>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</si>
  <si>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</si>
  <si>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</si>
  <si>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</si>
  <si>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</si>
  <si>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</si>
  <si>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</si>
  <si>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</si>
  <si>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</si>
  <si>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</si>
  <si>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</si>
  <si>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</si>
  <si>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</si>
  <si>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</si>
  <si>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</si>
  <si>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</si>
  <si>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</si>
  <si>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</si>
  <si>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</si>
  <si>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</si>
  <si>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</si>
  <si>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</si>
  <si>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</si>
  <si>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</si>
  <si>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</si>
  <si>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</si>
  <si>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</si>
  <si>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</si>
  <si>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</si>
  <si>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</si>
  <si>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</si>
  <si>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</si>
  <si>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</si>
  <si>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</si>
  <si>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</si>
  <si>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</si>
  <si>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</si>
  <si>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</si>
  <si>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</si>
  <si>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</si>
  <si>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</si>
  <si>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</si>
  <si>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</si>
  <si>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</si>
  <si>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</si>
  <si>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</si>
  <si>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</si>
  <si>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</si>
  <si>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</si>
  <si>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</si>
  <si>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</si>
  <si>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</si>
  <si>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</si>
  <si>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</si>
  <si>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</si>
  <si>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</si>
  <si>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</si>
  <si>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</si>
  <si>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</si>
  <si>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</si>
  <si>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</si>
  <si>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</si>
  <si>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</si>
  <si>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</si>
  <si>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</si>
  <si>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</si>
  <si>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</si>
  <si>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</si>
  <si>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</si>
  <si>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</si>
  <si>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</si>
  <si>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</si>
  <si>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</si>
  <si>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</si>
  <si>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</si>
  <si>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</si>
  <si>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</si>
  <si>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</si>
  <si>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</si>
  <si>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</si>
  <si>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</si>
  <si>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</si>
  <si>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</si>
  <si>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</si>
  <si>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</si>
  <si>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ABS(Amount)&gt;.02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</si>
</sst>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26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70" totalsRowShown="0" headerRowDxfId="25" dataDxfId="24">
  <autoFilter ref="A1:G170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3"/>
    <tableColumn id="4" xr3:uid="{D5CE1952-DF24-4666-B97F-4075EE416DB3}" name="Details" dataDxfId="22"/>
    <tableColumn id="5" xr3:uid="{543A8991-CDDC-4C9E-B81B-17ECAEB28DFE}" name="Status" dataDxfId="21"/>
    <tableColumn id="6" xr3:uid="{CF2B62BD-8429-4C59-A817-109A9F6D4BBB}" name="Records" dataDxfId="20"/>
    <tableColumn id="7" xr3:uid="{3F5609B9-709E-4A2A-8885-1708EF552567}" name="User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C0AB7-0C89-4154-9C56-3701742A1BC3}" name="ReconResultsTable" displayName="ReconResultsTable" ref="A1:F13" totalsRowShown="0" headerRowDxfId="15">
  <autoFilter ref="A1:F13" xr:uid="{207C0AB7-0C89-4154-9C56-3701742A1BC3}"/>
  <tableColumns count="6">
    <tableColumn id="1" xr3:uid="{65FC369D-05CE-4F3F-8293-CAA9073938C3}" name="IsMatch"/>
    <tableColumn id="2" xr3:uid="{0A21D654-12C9-464A-8E2E-F1B8BAA0A1C6}" name="Difference" dataDxfId="18"/>
    <tableColumn id="3" xr3:uid="{0AECC2EF-105A-4073-82BC-E65F62711543}" name="ID"/>
    <tableColumn id="4" xr3:uid="{B4B6A28F-80DB-40EC-8674-0C5295C6225B}" name="Sheet1 Total" dataDxfId="17"/>
    <tableColumn id="5" xr3:uid="{5A3913BE-4AE8-4EB7-A78B-4DB7C5349ECC}" name="Sheet2 Total" dataDxfId="16"/>
    <tableColumn id="6" xr3:uid="{CAEB5F20-047E-4DFA-AFF1-F55F84DC8F74}" name="Accoun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C06F6-54B8-4160-BED2-9B4335348823}" name="MatchResultsTable" displayName="MatchResultsTable" ref="A1:F17" totalsRowShown="0" headerRowDxfId="14">
  <autoFilter ref="A1:F17" xr:uid="{74AC06F6-54B8-4160-BED2-9B4335348823}"/>
  <tableColumns count="6">
    <tableColumn id="1" xr3:uid="{D6BD078E-21F5-4D8D-9F11-E18651DBF418}" name="ID"/>
    <tableColumn id="2" xr3:uid="{22700499-1D4D-4E98-A570-FF76991449CC}" name="Type"/>
    <tableColumn id="3" xr3:uid="{F8FD2567-0DAE-4967-A1AF-F76117973CE2}" name="Amount"/>
    <tableColumn id="4" xr3:uid="{058499C1-5CA2-40A4-B3AA-C3EE7A8BF8A6}" name="Sheet1 Total" dataDxfId="13"/>
    <tableColumn id="5" xr3:uid="{A5BB5F3F-24CB-4FEE-8C6B-BA9F30BA82F7}" name="Sheet2 Total" dataDxfId="12"/>
    <tableColumn id="6" xr3:uid="{81F93EEE-8F0E-4BFA-B91E-8983591AE581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BC420E-AE9F-40FA-97F4-F974A21B376E}" name="ErrorResultsTable" displayName="ErrorResultsTable" ref="A1:E5" totalsRowShown="0" headerRowDxfId="10" dataDxfId="11">
  <autoFilter ref="A1:E5" xr:uid="{69BC420E-AE9F-40FA-97F4-F974A21B376E}"/>
  <tableColumns count="5">
    <tableColumn id="1" xr3:uid="{EB826A76-0159-4DF2-BEBF-9254C03718F9}" name="Difference" dataDxfId="9"/>
    <tableColumn id="2" xr3:uid="{5FC89816-6B40-4675-A8A5-FB7648364E5C}" name="ID" dataDxfId="8"/>
    <tableColumn id="3" xr3:uid="{9980426A-5AD2-4475-931E-5712469EF68C}" name="Sheet1 Total" dataDxfId="7"/>
    <tableColumn id="4" xr3:uid="{CFFA2284-0D5A-44BE-8974-FBA0E1E292DF}" name="Sheet2 Total" dataDxfId="5"/>
    <tableColumn id="5" xr3:uid="{0236B026-3374-41C4-9C4D-8C2D2F87BDB6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6163B1-B4E6-4C6F-A386-D24CB0E845B8}" name="Table21" displayName="Table21" ref="A1:H11" totalsRowShown="0">
  <autoFilter ref="A1:H11" xr:uid="{B66163B1-B4E6-4C6F-A386-D24CB0E845B8}"/>
  <tableColumns count="8">
    <tableColumn id="1" xr3:uid="{B481CFC4-A3D5-4BD5-A169-349F8758787B}" name="Account ID"/>
    <tableColumn id="2" xr3:uid="{DDF7A6FB-3224-4B7D-BAF9-72C085F14428}" name="Account Name"/>
    <tableColumn id="3" xr3:uid="{AAB641A3-6BFA-4D67-A386-CB1610DE2202}" name="Transaction Type"/>
    <tableColumn id="4" xr3:uid="{763D4B5A-E8D4-493A-805D-D0D6BA11388E}" name="Amount"/>
    <tableColumn id="5" xr3:uid="{7B46FF98-5614-4B3B-9F32-A58B4A2761DC}" name="Currency"/>
    <tableColumn id="6" xr3:uid="{140E41A6-D173-4776-B574-DD3A9E99B6F9}" name="Processing Date" dataDxfId="4"/>
    <tableColumn id="7" xr3:uid="{B48B27B5-5953-4CBE-804C-4237B09D88ED}" name="Net Amount" dataDxfId="3">
      <calculatedColumnFormula>Table21[[#This Row],[Amount]]*0.98</calculatedColumnFormula>
    </tableColumn>
    <tableColumn id="8" xr3:uid="{727B0110-24C6-4A9A-913F-98B17602655F}" name="Upload Batch" dataDxfId="2">
      <calculatedColumnFormula>20260216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8" sqref="A8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B6" sqref="B6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  <c r="B5" t="s">
        <v>183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46069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169</v>
      </c>
      <c r="C26" t="s">
        <v>66</v>
      </c>
      <c r="D26">
        <v>0.01</v>
      </c>
      <c r="E26" t="s">
        <v>170</v>
      </c>
      <c r="F26" t="s">
        <v>118</v>
      </c>
    </row>
    <row r="27" spans="1:6" x14ac:dyDescent="0.55000000000000004">
      <c r="A27">
        <v>1014</v>
      </c>
      <c r="B27" t="s">
        <v>169</v>
      </c>
      <c r="C27" t="s">
        <v>66</v>
      </c>
      <c r="D27">
        <v>0.02</v>
      </c>
      <c r="E27" t="s">
        <v>171</v>
      </c>
      <c r="F27" t="s">
        <v>118</v>
      </c>
    </row>
    <row r="28" spans="1:6" x14ac:dyDescent="0.55000000000000004">
      <c r="A28">
        <v>1015</v>
      </c>
      <c r="B28" t="s">
        <v>172</v>
      </c>
      <c r="C28" t="s">
        <v>66</v>
      </c>
      <c r="D28">
        <v>-0.01</v>
      </c>
      <c r="E28" t="s">
        <v>173</v>
      </c>
      <c r="F28" t="s">
        <v>118</v>
      </c>
    </row>
    <row r="29" spans="1:6" x14ac:dyDescent="0.55000000000000004">
      <c r="A29">
        <v>1015</v>
      </c>
      <c r="B29" t="s">
        <v>172</v>
      </c>
      <c r="C29" t="s">
        <v>66</v>
      </c>
      <c r="D29">
        <v>-0.02</v>
      </c>
      <c r="E29" t="s">
        <v>174</v>
      </c>
      <c r="F29" t="s">
        <v>118</v>
      </c>
    </row>
    <row r="30" spans="1:6" x14ac:dyDescent="0.55000000000000004">
      <c r="A30">
        <v>1016</v>
      </c>
      <c r="B30" t="s">
        <v>175</v>
      </c>
      <c r="C30" t="s">
        <v>66</v>
      </c>
      <c r="D30">
        <v>0.03</v>
      </c>
      <c r="E30" t="s">
        <v>176</v>
      </c>
      <c r="F30" t="s">
        <v>118</v>
      </c>
    </row>
    <row r="31" spans="1:6" x14ac:dyDescent="0.55000000000000004">
      <c r="A31">
        <v>1016</v>
      </c>
      <c r="B31" t="s">
        <v>175</v>
      </c>
      <c r="C31" t="s">
        <v>66</v>
      </c>
      <c r="D31">
        <v>-0.01</v>
      </c>
      <c r="E31" t="s">
        <v>177</v>
      </c>
      <c r="F31" t="s">
        <v>118</v>
      </c>
    </row>
    <row r="32" spans="1:6" x14ac:dyDescent="0.55000000000000004">
      <c r="A32">
        <v>1017</v>
      </c>
      <c r="B32" t="s">
        <v>178</v>
      </c>
      <c r="C32" t="s">
        <v>66</v>
      </c>
      <c r="D32">
        <v>0.01</v>
      </c>
      <c r="E32" t="s">
        <v>179</v>
      </c>
      <c r="F32" t="s">
        <v>118</v>
      </c>
    </row>
    <row r="33" spans="1:6" x14ac:dyDescent="0.55000000000000004">
      <c r="A33">
        <v>1017</v>
      </c>
      <c r="B33" t="s">
        <v>178</v>
      </c>
      <c r="C33" t="s">
        <v>66</v>
      </c>
      <c r="D33">
        <v>-0.03</v>
      </c>
      <c r="E33" t="s">
        <v>180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70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9">
        <v>46069.570636574077</v>
      </c>
      <c r="B156" s="10" t="s">
        <v>32</v>
      </c>
      <c r="C156" s="10" t="s">
        <v>33</v>
      </c>
      <c r="D156" s="10" t="s">
        <v>64</v>
      </c>
      <c r="E156" s="10" t="s">
        <v>35</v>
      </c>
      <c r="F156" s="10">
        <v>11</v>
      </c>
      <c r="G156" s="10" t="s">
        <v>28</v>
      </c>
    </row>
    <row r="157" spans="1:7" x14ac:dyDescent="0.55000000000000004">
      <c r="A157" s="9">
        <v>46069.570717592593</v>
      </c>
      <c r="B157" s="10" t="s">
        <v>32</v>
      </c>
      <c r="C157" s="10" t="s">
        <v>33</v>
      </c>
      <c r="D157" s="10" t="s">
        <v>67</v>
      </c>
      <c r="E157" s="10" t="s">
        <v>35</v>
      </c>
      <c r="F157" s="10">
        <v>32</v>
      </c>
      <c r="G157" s="10" t="s">
        <v>28</v>
      </c>
    </row>
    <row r="158" spans="1:7" x14ac:dyDescent="0.55000000000000004">
      <c r="A158" s="9">
        <v>46069.570775462962</v>
      </c>
      <c r="B158" s="10" t="s">
        <v>37</v>
      </c>
      <c r="C158" s="10" t="s">
        <v>78</v>
      </c>
      <c r="D158" s="10" t="s">
        <v>181</v>
      </c>
      <c r="E158" s="10" t="s">
        <v>35</v>
      </c>
      <c r="F158" s="10">
        <v>12</v>
      </c>
      <c r="G158" s="10" t="s">
        <v>28</v>
      </c>
    </row>
    <row r="159" spans="1:7" x14ac:dyDescent="0.55000000000000004">
      <c r="A159" s="9">
        <v>46069.571053240739</v>
      </c>
      <c r="B159" s="10" t="s">
        <v>39</v>
      </c>
      <c r="C159" s="10" t="s">
        <v>78</v>
      </c>
      <c r="D159" s="10" t="s">
        <v>156</v>
      </c>
      <c r="E159" s="10" t="s">
        <v>35</v>
      </c>
      <c r="F159" s="10">
        <v>8</v>
      </c>
      <c r="G159" s="10" t="s">
        <v>28</v>
      </c>
    </row>
    <row r="160" spans="1:7" x14ac:dyDescent="0.55000000000000004">
      <c r="A160" s="9">
        <v>46069.571192129632</v>
      </c>
      <c r="B160" s="10" t="s">
        <v>39</v>
      </c>
      <c r="C160" s="10" t="s">
        <v>78</v>
      </c>
      <c r="D160" s="10" t="s">
        <v>157</v>
      </c>
      <c r="E160" s="10" t="s">
        <v>35</v>
      </c>
      <c r="F160" s="10">
        <v>8</v>
      </c>
      <c r="G160" s="10" t="s">
        <v>28</v>
      </c>
    </row>
    <row r="161" spans="1:7" x14ac:dyDescent="0.55000000000000004">
      <c r="A161" s="9">
        <v>46069.571608796294</v>
      </c>
      <c r="B161" s="10" t="s">
        <v>37</v>
      </c>
      <c r="C161" s="10" t="s">
        <v>78</v>
      </c>
      <c r="D161" s="10" t="s">
        <v>182</v>
      </c>
      <c r="E161" s="10" t="s">
        <v>35</v>
      </c>
      <c r="F161" s="10">
        <v>12</v>
      </c>
      <c r="G161" s="10" t="s">
        <v>28</v>
      </c>
    </row>
    <row r="162" spans="1:7" x14ac:dyDescent="0.55000000000000004">
      <c r="A162" s="9">
        <v>46069.571689814817</v>
      </c>
      <c r="B162" s="10" t="s">
        <v>39</v>
      </c>
      <c r="C162" s="10" t="s">
        <v>78</v>
      </c>
      <c r="D162" s="10" t="s">
        <v>156</v>
      </c>
      <c r="E162" s="10" t="s">
        <v>35</v>
      </c>
      <c r="F162" s="10">
        <v>16</v>
      </c>
      <c r="G162" s="10" t="s">
        <v>28</v>
      </c>
    </row>
    <row r="163" spans="1:7" x14ac:dyDescent="0.55000000000000004">
      <c r="A163" s="9">
        <v>46069.572453703702</v>
      </c>
      <c r="B163" s="10" t="s">
        <v>32</v>
      </c>
      <c r="C163" s="10" t="s">
        <v>33</v>
      </c>
      <c r="D163" s="10" t="s">
        <v>67</v>
      </c>
      <c r="E163" s="10" t="s">
        <v>35</v>
      </c>
      <c r="F163" s="10">
        <v>32</v>
      </c>
      <c r="G163" s="10" t="s">
        <v>28</v>
      </c>
    </row>
    <row r="164" spans="1:7" x14ac:dyDescent="0.55000000000000004">
      <c r="A164" s="9">
        <v>46069.572465277779</v>
      </c>
      <c r="B164" s="10" t="s">
        <v>37</v>
      </c>
      <c r="C164" s="10" t="s">
        <v>78</v>
      </c>
      <c r="D164" s="10" t="s">
        <v>182</v>
      </c>
      <c r="E164" s="10" t="s">
        <v>35</v>
      </c>
      <c r="F164" s="10">
        <v>12</v>
      </c>
      <c r="G164" s="10" t="s">
        <v>28</v>
      </c>
    </row>
    <row r="165" spans="1:7" x14ac:dyDescent="0.55000000000000004">
      <c r="A165" s="9">
        <v>46069.572592592594</v>
      </c>
      <c r="B165" s="10" t="s">
        <v>39</v>
      </c>
      <c r="C165" s="10" t="s">
        <v>78</v>
      </c>
      <c r="D165" s="10" t="s">
        <v>156</v>
      </c>
      <c r="E165" s="10" t="s">
        <v>35</v>
      </c>
      <c r="F165" s="10">
        <v>16</v>
      </c>
      <c r="G165" s="10" t="s">
        <v>28</v>
      </c>
    </row>
    <row r="166" spans="1:7" x14ac:dyDescent="0.55000000000000004">
      <c r="A166" s="9">
        <v>46069.572835648149</v>
      </c>
      <c r="B166" s="10" t="s">
        <v>39</v>
      </c>
      <c r="C166" s="10" t="s">
        <v>78</v>
      </c>
      <c r="D166" s="10" t="s">
        <v>157</v>
      </c>
      <c r="E166" s="10" t="s">
        <v>35</v>
      </c>
      <c r="F166" s="10">
        <v>10</v>
      </c>
      <c r="G166" s="10" t="s">
        <v>28</v>
      </c>
    </row>
    <row r="167" spans="1:7" x14ac:dyDescent="0.55000000000000004">
      <c r="A167" s="9">
        <v>46069.574421296296</v>
      </c>
      <c r="B167" s="10" t="s">
        <v>32</v>
      </c>
      <c r="C167" s="10" t="s">
        <v>33</v>
      </c>
      <c r="D167" s="10" t="s">
        <v>64</v>
      </c>
      <c r="E167" s="10" t="s">
        <v>35</v>
      </c>
      <c r="F167" s="10">
        <v>11</v>
      </c>
      <c r="G167" s="10" t="s">
        <v>28</v>
      </c>
    </row>
    <row r="168" spans="1:7" x14ac:dyDescent="0.55000000000000004">
      <c r="A168" s="9">
        <v>46069.574479166666</v>
      </c>
      <c r="B168" s="10" t="s">
        <v>32</v>
      </c>
      <c r="C168" s="10" t="s">
        <v>33</v>
      </c>
      <c r="D168" s="10" t="s">
        <v>67</v>
      </c>
      <c r="E168" s="10" t="s">
        <v>35</v>
      </c>
      <c r="F168" s="10">
        <v>32</v>
      </c>
      <c r="G168" s="10" t="s">
        <v>28</v>
      </c>
    </row>
    <row r="169" spans="1:7" x14ac:dyDescent="0.55000000000000004">
      <c r="A169" s="9">
        <v>46069.574525462966</v>
      </c>
      <c r="B169" s="10" t="s">
        <v>37</v>
      </c>
      <c r="C169" s="10" t="s">
        <v>78</v>
      </c>
      <c r="D169" s="10" t="s">
        <v>182</v>
      </c>
      <c r="E169" s="10" t="s">
        <v>35</v>
      </c>
      <c r="F169" s="10">
        <v>12</v>
      </c>
      <c r="G169" s="10" t="s">
        <v>28</v>
      </c>
    </row>
    <row r="170" spans="1:7" x14ac:dyDescent="0.55000000000000004">
      <c r="A170" s="9">
        <v>46069.574548611112</v>
      </c>
      <c r="B170" s="10" t="s">
        <v>39</v>
      </c>
      <c r="C170" s="10" t="s">
        <v>78</v>
      </c>
      <c r="D170" s="10" t="s">
        <v>157</v>
      </c>
      <c r="E170" s="10" t="s">
        <v>35</v>
      </c>
      <c r="F170" s="10">
        <v>10</v>
      </c>
      <c r="G170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1"/>
  <sheetViews>
    <sheetView tabSelected="1" workbookViewId="0">
      <pane ySplit="1" topLeftCell="A2" activePane="bottomLeft" state="frozen"/>
      <selection pane="bottomLeft" activeCell="A2" sqref="A2:H11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Table21[[#This Row],[Amount]]*0.98</f>
        <v>98</v>
      </c>
      <c r="H2">
        <f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Table21[[#This Row],[Amount]]*0.98</f>
        <v>49</v>
      </c>
      <c r="H3">
        <f>20260216</f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Table21[[#This Row],[Amount]]*0.98</f>
        <v>147.49</v>
      </c>
      <c r="H4">
        <f>20260216</f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Table21[[#This Row],[Amount]]*0.98</f>
        <v>73.5</v>
      </c>
      <c r="H5">
        <f>20260216</f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Table21[[#This Row],[Amount]]*0.98</f>
        <v>196</v>
      </c>
      <c r="H6">
        <f>20260216</f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Table21[[#This Row],[Amount]]*0.98</f>
        <v>98</v>
      </c>
      <c r="H7">
        <f>20260216</f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Table21[[#This Row],[Amount]]*0.98</f>
        <v>147</v>
      </c>
      <c r="H8">
        <f>20260216</f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Table21[[#This Row],[Amount]]*0.98</f>
        <v>58.8</v>
      </c>
      <c r="H9">
        <f>20260216</f>
        <v>20260216</v>
      </c>
    </row>
    <row r="10" spans="1:8" x14ac:dyDescent="0.55000000000000004">
      <c r="A10">
        <v>1016</v>
      </c>
      <c r="C10" t="s">
        <v>66</v>
      </c>
      <c r="D10">
        <v>0.03</v>
      </c>
      <c r="E10" t="s">
        <v>111</v>
      </c>
      <c r="F10" s="5">
        <v>46069</v>
      </c>
      <c r="G10">
        <f>Table21[[#This Row],[Amount]]*0.98</f>
        <v>2.9399999999999999E-2</v>
      </c>
      <c r="H10">
        <f>20260216</f>
        <v>20260216</v>
      </c>
    </row>
    <row r="11" spans="1:8" x14ac:dyDescent="0.55000000000000004">
      <c r="A11">
        <v>1017</v>
      </c>
      <c r="C11" t="s">
        <v>66</v>
      </c>
      <c r="D11">
        <v>-0.03</v>
      </c>
      <c r="E11" t="s">
        <v>111</v>
      </c>
      <c r="F11" s="5">
        <v>46069</v>
      </c>
      <c r="G11">
        <f>Table21[[#This Row],[Amount]]*0.98</f>
        <v>-2.9399999999999999E-2</v>
      </c>
      <c r="H11">
        <f>20260216</f>
        <v>20260216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2026-02-16T19:47:42Z</dcterms:modified>
</cp:coreProperties>
</file>